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Calc"/>
  <mc:AlternateContent xmlns:mc="http://schemas.openxmlformats.org/markup-compatibility/2006">
    <mc:Choice Requires="x15">
      <x15ac:absPath xmlns:x15ac="http://schemas.microsoft.com/office/spreadsheetml/2010/11/ac" url="D:\0000_LOGICIELS_2021\COMPTANETAISSA\compta\bin\x86\Release\"/>
    </mc:Choice>
  </mc:AlternateContent>
  <bookViews>
    <workbookView xWindow="0" yWindow="0" windowWidth="16384" windowHeight="8192" tabRatio="500"/>
  </bookViews>
  <sheets>
    <sheet name="ACTIF" sheetId="1" r:id="rId1"/>
    <sheet name="PASSIF" sheetId="2" r:id="rId2"/>
    <sheet name="TCR" sheetId="3" r:id="rId3"/>
    <sheet name="TABLEAU 1 TABLEAU 2" sheetId="4" r:id="rId4"/>
    <sheet name="TABLEAU 3 TABLEAU 4" sheetId="5" r:id="rId5"/>
    <sheet name="TALEAU 5 TABLEAU 6" sheetId="6" r:id="rId6"/>
    <sheet name="TABLEAU 7 TABLEAU 8" sheetId="7" r:id="rId7"/>
    <sheet name="TABLEAU 8.1 TABLEAU 8.2" sheetId="8" r:id="rId8"/>
    <sheet name="TABLEAU 9" sheetId="9" r:id="rId9"/>
    <sheet name="TABLEAU 10 TABLEAU 11" sheetId="10" r:id="rId10"/>
    <sheet name="TABLEAU 12 TABLEAU 13" sheetId="11" r:id="rId11"/>
  </sheets>
  <externalReferences>
    <externalReference r:id="rId12"/>
  </externalReferences>
  <definedNames>
    <definedName name="cn_0">TCR!$H$20</definedName>
    <definedName name="CN_1">TCR!$J$24</definedName>
    <definedName name="Credit_I_0">TCR!$J$24</definedName>
    <definedName name="diff">PASSIF!$H$20</definedName>
    <definedName name="dn_1">TCR!$I$24</definedName>
    <definedName name="excedentdebit0">TCR!$I$61:$I$66,TCR!$I$60</definedName>
    <definedName name="ExedIVD0">TCR!$J$61:$J$66,TCR!$J$60</definedName>
    <definedName name="IV_CN">TCR!$G$61:$G$66,TCR!$G$60</definedName>
    <definedName name="iV_DN">TCR!$H$61:$H$66,TCR!$H$60</definedName>
    <definedName name="IV_DNM1">TCR!$I$61:$I$66,TCR!$I$60</definedName>
    <definedName name="sp">#N/A</definedName>
    <definedName name="totalactif">ACTIF!$F$44</definedName>
    <definedName name="totalactifprec">ACTIF!$G$44</definedName>
    <definedName name="totalpassif">PASSIF!$D$36</definedName>
    <definedName name="totalpassifprec">PASSIF!$E$36</definedName>
    <definedName name="VI_CNM1">TCR!$J$61:$J$66,TCR!$J$60</definedName>
    <definedName name="V_CN">TCR!$H$67:$H$69</definedName>
    <definedName name="V_CNM1">TCR!$J$67:$J$69</definedName>
    <definedName name="V_DN">TCR!$G$67:$G$69</definedName>
    <definedName name="V_DNM1">TCR!$I$67:$I$69</definedName>
  </definedNames>
  <calcPr fullCalcOnLoad="1" iterateDelta="0.0001"/>
</workbook>
</file>

<file path=xl/calcChain.xml><?xml version="1.0" encoding="utf-8"?>
<calcChain xmlns="http://schemas.openxmlformats.org/spreadsheetml/2006/main">
  <c i="11" l="1" r="D30"/>
  <c i="9" r="H45"/>
  <c r="H40"/>
  <c i="8" r="F8"/>
  <c i="7" r="I20"/>
  <c r="H20"/>
  <c r="F20"/>
  <c r="E20"/>
  <c i="3" r="J42"/>
  <c r="I20"/>
  <c i="1" r="F39"/>
  <c r="F34"/>
  <c r="A10"/>
  <c r="G23"/>
  <c i="3" r="I63"/>
  <c i="4" r="H14"/>
  <c i="3" r="G40"/>
  <c i="9" r="E5"/>
  <c i="1" r="G22"/>
  <c i="2" r="D27"/>
  <c i="8" r="E5"/>
  <c i="11" r="G8"/>
  <c i="3" r="G64"/>
  <c i="6" r="E21"/>
  <c r="D21"/>
  <c i="5" r="H17"/>
  <c i="3" r="G63"/>
  <c i="2" r="E27"/>
  <c i="9" r="G8"/>
  <c i="2" r="D33"/>
  <c i="3" r="H31"/>
  <c r="H51"/>
  <c i="7" r="E6"/>
  <c i="1" r="G37"/>
  <c i="2" r="E32"/>
  <c i="3" r="G65"/>
  <c i="1" r="G27"/>
  <c i="3" r="J16"/>
  <c i="5" r="H56"/>
  <c i="3" r="J18"/>
  <c i="11" r="E1"/>
  <c i="6" r="G33"/>
  <c i="4" r="E5"/>
  <c i="1" r="E23"/>
  <c i="4" r="A30"/>
  <c i="3" r="G38"/>
  <c i="4" r="E14"/>
  <c i="3" r="G36"/>
  <c r="I34"/>
  <c r="E3"/>
  <c r="G32"/>
  <c i="6" r="E5"/>
  <c i="3" r="H17"/>
  <c i="1" r="D28"/>
  <c r="E41"/>
  <c i="9" r="H13"/>
  <c i="4" r="H19"/>
  <c i="9" r="E8"/>
  <c i="3" r="E4"/>
  <c i="7" r="E4"/>
  <c i="1" r="G17"/>
  <c i="2" r="D19"/>
  <c r="D17"/>
  <c i="8" r="F1"/>
  <c i="11" r="H15"/>
  <c i="3" r="I25"/>
  <c i="1" r="E35"/>
  <c i="10" r="E8"/>
  <c i="1" r="E36"/>
  <c r="G30"/>
  <c i="4" r="G14"/>
  <c i="3" r="G75"/>
  <c r="I11"/>
  <c i="5" r="E6"/>
  <c i="1" r="D24"/>
  <c i="2" r="E33"/>
  <c i="1" r="D17"/>
  <c r="D22"/>
  <c i="3" r="I35"/>
  <c i="5" r="G9"/>
  <c i="1" r="G12"/>
  <c i="3" r="J19"/>
  <c r="G29"/>
  <c i="4" r="E4"/>
  <c i="3" r="H18"/>
  <c i="6" r="E6"/>
  <c i="2" r="E25"/>
  <c i="4" r="F16"/>
  <c i="2" r="E11"/>
  <c r="D18"/>
  <c i="5" r="H26"/>
  <c i="3" r="G11"/>
  <c i="9" r="H29"/>
  <c i="10" r="E4"/>
  <c i="9" r="H26"/>
  <c i="3" r="I65"/>
  <c r="H1"/>
  <c r="E51"/>
  <c i="1" r="E22"/>
  <c i="4" r="D30"/>
  <c i="9" r="H12"/>
  <c i="5" r="E5"/>
  <c i="3" r="I76"/>
  <c r="G37"/>
  <c i="1" r="G18"/>
  <c i="3" r="I36"/>
  <c i="9" r="F1"/>
  <c i="8" r="E8"/>
  <c i="2" r="D15"/>
  <c i="3" r="I55"/>
  <c i="5" r="E9"/>
  <c i="1" r="D40"/>
  <c i="4" r="G15"/>
  <c r="H15"/>
  <c i="1" r="D41"/>
  <c i="2" r="D14"/>
  <c i="4" r="H16"/>
  <c i="3" r="J23"/>
  <c i="5" r="H19"/>
  <c i="1" r="E33"/>
  <c i="4" r="G8"/>
  <c r="E19"/>
  <c i="11" r="D6"/>
  <c i="1" r="D23"/>
  <c i="3" r="I30"/>
  <c r="G72"/>
  <c r="G33"/>
  <c i="1" r="H14"/>
  <c i="3" r="G35"/>
  <c r="J72"/>
  <c i="1" r="E29"/>
  <c r="D21"/>
  <c i="9" r="E4"/>
  <c i="2" r="D32"/>
  <c i="5" r="H46"/>
  <c i="2" r="D26"/>
  <c i="5" r="H18"/>
  <c i="1" r="D38"/>
  <c i="3" r="E7"/>
  <c r="I40"/>
  <c r="G39"/>
  <c r="I59"/>
  <c i="10" r="G8"/>
  <c i="1" r="G26"/>
  <c i="3" r="G28"/>
  <c r="J68"/>
  <c r="H66"/>
  <c i="1" r="D26"/>
  <c i="3" r="G25"/>
  <c r="I64"/>
  <c i="1" r="B6"/>
  <c i="5" r="H32"/>
  <c i="4" r="E8"/>
  <c i="5" r="H14"/>
  <c i="3" r="H16"/>
  <c r="G19"/>
  <c i="1" r="G38"/>
  <c i="3" r="I69"/>
  <c i="6" r="F33"/>
  <c i="1" r="D37"/>
  <c i="3" r="G21"/>
  <c i="1" r="G35"/>
  <c i="11" r="D4"/>
  <c i="1" r="G20"/>
  <c r="E17"/>
  <c i="3" r="I32"/>
  <c r="H68"/>
  <c i="4" r="F14"/>
  <c i="3" r="G69"/>
  <c r="I75"/>
  <c i="1" r="E18"/>
  <c r="D1"/>
  <c i="2" r="D11"/>
  <c i="8" r="G8"/>
  <c i="4" r="E6"/>
  <c i="2" r="E28"/>
  <c i="3" r="I73"/>
  <c i="1" r="G41"/>
  <c i="2" r="E18"/>
  <c i="3" r="G26"/>
  <c r="J15"/>
  <c i="4" r="G16"/>
  <c i="7" r="E8"/>
  <c i="3" r="I58"/>
  <c i="1" r="D30"/>
  <c i="3" r="J14"/>
  <c i="1" r="E21"/>
  <c i="3" r="G55"/>
  <c i="11" r="D5"/>
  <c i="3" r="H73"/>
  <c i="5" r="F1"/>
  <c i="2" r="E16"/>
  <c i="4" r="E30"/>
  <c i="3" r="I21"/>
  <c i="2" r="D1"/>
  <c i="3" r="G30"/>
  <c i="5" r="H23"/>
  <c i="2" r="E34"/>
  <c i="5" r="H47"/>
  <c i="1" r="E8"/>
  <c i="6" r="G8"/>
  <c i="1" r="D35"/>
  <c r="E24"/>
  <c i="3" r="H45"/>
  <c i="2" r="E19"/>
  <c i="1" r="D29"/>
  <c i="6" r="F1"/>
  <c i="4" r="G30"/>
  <c i="10" r="E5"/>
  <c i="3" r="G58"/>
  <c r="H22"/>
  <c r="I28"/>
  <c i="2" r="E7"/>
  <c i="10" r="F1"/>
  <c i="3" r="I27"/>
  <c i="7" r="G1"/>
  <c i="3" r="I33"/>
  <c r="I38"/>
  <c i="1" r="D18"/>
  <c i="2" r="D16"/>
  <c i="3" r="J66"/>
  <c r="J22"/>
  <c i="1" r="D12"/>
  <c i="5" r="H25"/>
  <c i="1" r="G21"/>
  <c r="B4"/>
  <c i="4" r="F1"/>
  <c i="1" r="G33"/>
  <c i="4" r="E16"/>
  <c i="6" r="E8"/>
  <c i="5" r="E7"/>
  <c i="2" r="B5"/>
  <c i="3" r="G62"/>
  <c r="H61"/>
  <c i="1" r="B5"/>
  <c i="3" r="I29"/>
  <c i="2" r="E15"/>
  <c i="1" r="D33"/>
  <c i="7" r="E5"/>
  <c i="2" r="D34"/>
  <c i="3" r="I62"/>
  <c i="2" r="D20"/>
  <c r="D31"/>
  <c i="1" r="D27"/>
  <c i="2" r="D28"/>
  <c i="4" r="G19"/>
  <c i="1" r="D20"/>
  <c i="4" r="F15"/>
  <c i="3" r="G34"/>
  <c r="H23"/>
  <c i="10" r="E6"/>
  <c i="1" r="G24"/>
  <c i="8" r="E4"/>
  <c i="2" r="E31"/>
  <c i="3" r="J17"/>
  <c i="1" r="G28"/>
  <c i="2" r="D25"/>
  <c i="3" r="I26"/>
  <c r="G59"/>
  <c i="5" r="H33"/>
  <c i="4" r="F19"/>
  <c i="2" r="B3"/>
  <c i="11" r="E8"/>
  <c i="9" r="E6"/>
  <c i="1" r="G29"/>
  <c i="3" r="I41"/>
  <c r="H15"/>
  <c i="11" r="H25"/>
  <c i="1" r="G36"/>
  <c i="3" r="I37"/>
  <c i="2" r="E14"/>
  <c i="7" r="G8"/>
  <c i="3" r="I31"/>
  <c i="8" r="E6"/>
  <c i="2" r="B4"/>
  <c i="3" r="G76"/>
  <c i="2" r="E17"/>
  <c i="3" r="J61"/>
  <c r="H7"/>
  <c i="2" r="E26"/>
  <c i="3" r="G41"/>
  <c i="2" r="E20"/>
  <c i="6" r="E4"/>
  <c i="3" r="G27"/>
  <c i="1" r="G40"/>
  <c i="4" r="E15"/>
  <c i="3" r="H14"/>
  <c r="H21"/>
  <c r="I39"/>
  <c r="E5"/>
  <c i="1" r="D36"/>
  <c i="6" r="G21"/>
  <c i="3" r="J21"/>
  <c i="1" l="1" r="G42"/>
  <c r="G31"/>
  <c i="2" r="E35"/>
  <c i="3" r="J20"/>
  <c r="J24"/>
  <c i="2" r="D23"/>
  <c r="D35"/>
  <c i="3" r="I42"/>
  <c i="1" r="E42"/>
  <c i="2" r="D29"/>
  <c i="3" r="H20"/>
  <c i="4" r="F22"/>
  <c i="5" r="H21"/>
  <c i="9" r="H31"/>
  <c i="3" r="I24"/>
  <c i="4" r="G22"/>
  <c i="1" r="E31"/>
  <c r="D42"/>
  <c i="3" r="G42"/>
  <c i="4" r="H22"/>
  <c i="5" r="H29"/>
  <c r="H48"/>
  <c i="1" r="D31"/>
  <c i="4" r="E22"/>
  <c i="5" r="H34"/>
  <c i="1" r="F36"/>
  <c r="F22"/>
  <c r="F26"/>
  <c i="2" r="E29"/>
  <c i="1" r="F35"/>
  <c i="3" r="H42"/>
  <c r="I74"/>
  <c i="1" r="F17"/>
  <c r="F24"/>
  <c r="F27"/>
  <c r="F29"/>
  <c r="F40"/>
  <c r="F41"/>
  <c i="3" r="G70"/>
  <c i="1" r="F18"/>
  <c r="F30"/>
  <c i="3" r="H70"/>
  <c r="J74"/>
  <c i="5" r="H58"/>
  <c i="6" r="D24"/>
  <c r="H33"/>
  <c r="H36"/>
  <c i="1" r="F20"/>
  <c r="F23"/>
  <c r="F33"/>
  <c r="F37"/>
  <c i="3" r="H74"/>
  <c i="9" r="H47"/>
  <c i="1" r="F28"/>
  <c r="F38"/>
  <c i="2" r="E23"/>
  <c i="3" r="F48"/>
  <c r="I70"/>
  <c i="6" r="G24"/>
  <c r="F36"/>
  <c i="1" r="F21"/>
  <c i="3" r="G20"/>
  <c r="G24"/>
  <c r="F47"/>
  <c r="F49"/>
  <c r="J70"/>
  <c r="G74"/>
  <c i="6" r="E24"/>
  <c r="G36"/>
  <c i="9" r="H46"/>
  <c i="11" r="H19"/>
  <c r="H30"/>
  <c i="2" l="1" r="E36"/>
  <c i="1" r="G44"/>
  <c r="D43"/>
  <c i="3" r="I43"/>
  <c i="1" r="E43"/>
  <c r="G43"/>
  <c i="5" r="H35"/>
  <c i="2" r="D36"/>
  <c i="3" r="H24"/>
  <c r="H43"/>
  <c r="J43"/>
  <c r="I60"/>
  <c i="1" r="F31"/>
  <c r="F42"/>
  <c l="1" r="F44"/>
  <c r="F43"/>
  <c i="3" r="G43"/>
  <c r="G60"/>
  <c r="H60"/>
  <c r="J60"/>
  <c r="J67"/>
  <c l="1" r="G67"/>
  <c r="H67"/>
  <c r="I67"/>
  <c r="J71"/>
  <c l="1" r="H71"/>
  <c r="I71"/>
  <c r="J77"/>
  <c r="G71"/>
  <c r="H77"/>
  <c l="1" r="G77"/>
  <c r="I77"/>
</calcChain>
</file>

<file path=xl/sharedStrings.xml><?xml version="1.0" encoding="utf-8"?>
<sst xmlns="http://schemas.openxmlformats.org/spreadsheetml/2006/main">
  <si>
    <t>IMPRIME DESTINE A L'ADMINISTRATION</t>
  </si>
  <si>
    <t>N.I.F</t>
  </si>
  <si>
    <t xml:space="preserve">Désignation de l'entreprise                 </t>
  </si>
  <si>
    <t xml:space="preserve">Activité                                                      </t>
  </si>
  <si>
    <t xml:space="preserve">Adresse                                                    </t>
  </si>
  <si>
    <t xml:space="preserve">Exercice  clos le</t>
  </si>
  <si>
    <t>BILAN (ACTIF)</t>
  </si>
  <si>
    <t>ACTIF</t>
  </si>
  <si>
    <t>Montants</t>
  </si>
  <si>
    <t>Amortissements</t>
  </si>
  <si>
    <t>, provisions et</t>
  </si>
  <si>
    <t>Net</t>
  </si>
  <si>
    <t>Bruts</t>
  </si>
  <si>
    <t>pertes de valeurs</t>
  </si>
  <si>
    <t>ACTIFS NON COURANTS</t>
  </si>
  <si>
    <t>Ecart d'acquisition - goodwill positif ou négatif</t>
  </si>
  <si>
    <t>Immobilisations incorporelles</t>
  </si>
  <si>
    <t>Immobilisations corporelles</t>
  </si>
  <si>
    <t xml:space="preserve"> </t>
  </si>
  <si>
    <t>Terrains</t>
  </si>
  <si>
    <t>Bâtiments</t>
  </si>
  <si>
    <t>Autres immobilisations corporelles</t>
  </si>
  <si>
    <t>Immobilisations en concession</t>
  </si>
  <si>
    <t>Immobilisations encours</t>
  </si>
  <si>
    <t>Immobilisations financières</t>
  </si>
  <si>
    <t>Titres mis en équivalence</t>
  </si>
  <si>
    <t>Autres participations et créances rattachées</t>
  </si>
  <si>
    <t>Autres titres immobilisés</t>
  </si>
  <si>
    <t>Prêts et autres actifs financiers non courants</t>
  </si>
  <si>
    <t>Impôts différés actif</t>
  </si>
  <si>
    <t>TOTAL ACTIF NON COURANT</t>
  </si>
  <si>
    <t>ACTIFS COURANTS</t>
  </si>
  <si>
    <t>Stocks et encours</t>
  </si>
  <si>
    <t>Créances et emplois assimilés</t>
  </si>
  <si>
    <t>Clients</t>
  </si>
  <si>
    <t>Autres débiteurs</t>
  </si>
  <si>
    <t>Impôts et assimilés</t>
  </si>
  <si>
    <t>Autres créances et emplois assimilés</t>
  </si>
  <si>
    <t>Disponibilités et assimilés</t>
  </si>
  <si>
    <t>Placements et autres actifs financiers courants</t>
  </si>
  <si>
    <t>Trésorerie</t>
  </si>
  <si>
    <t>TOTAL ACTIF COURANT</t>
  </si>
  <si>
    <t>TOTAL GENERAL ACTIF</t>
  </si>
  <si>
    <t>Exercice clos le</t>
  </si>
  <si>
    <t>BILAN (PASSIF)</t>
  </si>
  <si>
    <t>PASSIF</t>
  </si>
  <si>
    <t>CAPITAUX PROPRES :</t>
  </si>
  <si>
    <t>Capital émis</t>
  </si>
  <si>
    <t>Capital non appelé</t>
  </si>
  <si>
    <t>Primes et réserves- Réserves consolidées(l)</t>
  </si>
  <si>
    <t>Ecarts de réévaluation</t>
  </si>
  <si>
    <t>Ecart d'équivalence (1)</t>
  </si>
  <si>
    <t>Résultat net - Résultat net part du groupe (1)</t>
  </si>
  <si>
    <t>Autres capitaux propres - Report à nouveau</t>
  </si>
  <si>
    <t>Part de la société consolidante (1)</t>
  </si>
  <si>
    <t>Part des minoritaires (1)</t>
  </si>
  <si>
    <t>TOTAL I</t>
  </si>
  <si>
    <t>PASSIFS NON-COURANTS :</t>
  </si>
  <si>
    <t>Emprunts et dettes financières</t>
  </si>
  <si>
    <t>Impôts (différés et provisionnés)</t>
  </si>
  <si>
    <t>Autres dettes non courantes</t>
  </si>
  <si>
    <t>Provisions et produits constatés d'avance</t>
  </si>
  <si>
    <t>TOTAL II</t>
  </si>
  <si>
    <t>PASSIFS COURANTS :</t>
  </si>
  <si>
    <t>Fournisseurs et comptes rattachés</t>
  </si>
  <si>
    <t>Impôts</t>
  </si>
  <si>
    <t>Autres dettes</t>
  </si>
  <si>
    <t>Trésorerie Passif</t>
  </si>
  <si>
    <t>TOTAL III</t>
  </si>
  <si>
    <t>TOTAL PASSIF (I+II+III)</t>
  </si>
  <si>
    <t>(1) à utiliser uniquement pour la présentation d'états financiers consolidés</t>
  </si>
  <si>
    <t xml:space="preserve">Désignation de l'entreprise               </t>
  </si>
  <si>
    <t xml:space="preserve">Activité                                                    </t>
  </si>
  <si>
    <t xml:space="preserve">Adresse                                                  </t>
  </si>
  <si>
    <t>Exercice du</t>
  </si>
  <si>
    <t>au</t>
  </si>
  <si>
    <t>COMPTE DE RESULTAT</t>
  </si>
  <si>
    <t>Rubriques</t>
  </si>
  <si>
    <t>DEBIT</t>
  </si>
  <si>
    <t>CREDIT</t>
  </si>
  <si>
    <t>(en Dinars)</t>
  </si>
  <si>
    <t>Ventes de marchandises</t>
  </si>
  <si>
    <t>Produits fabriqués</t>
  </si>
  <si>
    <t>Production vendue</t>
  </si>
  <si>
    <t>Prestations de services</t>
  </si>
  <si>
    <t>Vente de travaux</t>
  </si>
  <si>
    <t>Produits annexes</t>
  </si>
  <si>
    <t>Rabais, remises, ristournes accordés</t>
  </si>
  <si>
    <t>Chiffre d'affaires net des Rabais, remises, ristournes</t>
  </si>
  <si>
    <t>Production stockée ou déstockée</t>
  </si>
  <si>
    <t>Production immobilisée</t>
  </si>
  <si>
    <t>Subventions d'exploitation</t>
  </si>
  <si>
    <t>I-Production de l'exercice</t>
  </si>
  <si>
    <t>Achats de marchandises vendues</t>
  </si>
  <si>
    <t>Matières premières</t>
  </si>
  <si>
    <t>Autres approvisionnements</t>
  </si>
  <si>
    <t>Variations des stocks</t>
  </si>
  <si>
    <t>Achats d'études et de prestations de services</t>
  </si>
  <si>
    <t>Autres consommations</t>
  </si>
  <si>
    <t>Rabais, remises, ristournes obtenus sur achats</t>
  </si>
  <si>
    <t>Sous-traitance générale</t>
  </si>
  <si>
    <t>Services</t>
  </si>
  <si>
    <t>Locations</t>
  </si>
  <si>
    <t>extérieurs</t>
  </si>
  <si>
    <t>Entretien, réparations et maintenance</t>
  </si>
  <si>
    <t>Primes d'assurances</t>
  </si>
  <si>
    <t>Personnel extérieur à l'entreprise</t>
  </si>
  <si>
    <t>Rémunération d'intermédiaires et honoraires</t>
  </si>
  <si>
    <t>Publicité</t>
  </si>
  <si>
    <t>Déplacements, missions et réceptions</t>
  </si>
  <si>
    <t>Autres services</t>
  </si>
  <si>
    <t>Rabais, remises, ristournes obtenus sur services extérieurs</t>
  </si>
  <si>
    <t>II-Consommations de l'exercice</t>
  </si>
  <si>
    <t>III-Valeur ajoutée d'exploitation (I-II)</t>
  </si>
  <si>
    <t xml:space="preserve">Désignation de l'entreprise               :</t>
  </si>
  <si>
    <t xml:space="preserve">Activité                                                    :</t>
  </si>
  <si>
    <t xml:space="preserve">Adresse                                                  :</t>
  </si>
  <si>
    <t>COMPTE DE RESULTAT(Suite)</t>
  </si>
  <si>
    <t>Charges de personnel</t>
  </si>
  <si>
    <t>Impôts et taxes et versements assimilés</t>
  </si>
  <si>
    <t>IV-Excédent brut d'exploitation</t>
  </si>
  <si>
    <t>Autres produits opérationnels</t>
  </si>
  <si>
    <t>Autres charges opérationnelles</t>
  </si>
  <si>
    <t>Dotations aux amortissements</t>
  </si>
  <si>
    <t>Provision</t>
  </si>
  <si>
    <t>Pertes de valeur</t>
  </si>
  <si>
    <t>Reprise sur pertes de valeur et provisions</t>
  </si>
  <si>
    <t>V-Résultat opérationnel</t>
  </si>
  <si>
    <t>Produits financiers</t>
  </si>
  <si>
    <t>Charges financières</t>
  </si>
  <si>
    <t>VI-Résultat financier</t>
  </si>
  <si>
    <t xml:space="preserve">VII-Résultat ordinaire (V+VI) </t>
  </si>
  <si>
    <t>Eléments extraordinaires (produits) (*)</t>
  </si>
  <si>
    <r>
      <rPr>
        <rFont val="Arial"/>
        <charset val="178"/>
        <family val="0"/>
        <sz val="9"/>
        <scheme val="none"/>
      </rPr>
      <t>Eléments extraordinaires (Charges)</t>
    </r>
    <r>
      <rPr>
        <rFont val="Arial"/>
        <charset val="178"/>
        <family val="0"/>
        <b val="1"/>
        <sz val="9"/>
        <scheme val="none"/>
      </rPr>
      <t xml:space="preserve"> (*)</t>
    </r>
  </si>
  <si>
    <t>VIII-Résultat extraordinaire</t>
  </si>
  <si>
    <t>Impôts exigibles sur résultats</t>
  </si>
  <si>
    <t>Impôts différés (variations) sur résultats</t>
  </si>
  <si>
    <t>IX - RESULTAT NET DE L'EXERCICE</t>
  </si>
  <si>
    <t>(*) À détailler sur état annexe à joindre.</t>
  </si>
  <si>
    <t>1/ Tableau des mouvements des stocks :</t>
  </si>
  <si>
    <t>Rubrique</t>
  </si>
  <si>
    <t>Solde de début d'exercice</t>
  </si>
  <si>
    <t>Mouvements de la période</t>
  </si>
  <si>
    <t>Solde de fin d'exercice</t>
  </si>
  <si>
    <t>Débit</t>
  </si>
  <si>
    <t>Crédit</t>
  </si>
  <si>
    <t>Stocks de marchandises</t>
  </si>
  <si>
    <t>Matières et fournitures</t>
  </si>
  <si>
    <t>Encours de production de biens</t>
  </si>
  <si>
    <t>Encours de production de services</t>
  </si>
  <si>
    <t>Stocks de produits</t>
  </si>
  <si>
    <t>Stocks provenant d'immobilisations</t>
  </si>
  <si>
    <t>Stocks à l'extérieur</t>
  </si>
  <si>
    <t>TOTAL</t>
  </si>
  <si>
    <t>2/ Tableau de la fluctuation de la production stockée :</t>
  </si>
  <si>
    <t>Débiteur</t>
  </si>
  <si>
    <t>Créditeur</t>
  </si>
  <si>
    <t>3/ Charges de personnel, impôts, taxes et versements assimilés, autres services:</t>
  </si>
  <si>
    <t>Charges locatives et charges de copropriété</t>
  </si>
  <si>
    <t>Etudes et recherches</t>
  </si>
  <si>
    <t>Documentation et divers</t>
  </si>
  <si>
    <t>Transports de biens et transport collectif du personnel</t>
  </si>
  <si>
    <t>Frais postaux et de télécommunications</t>
  </si>
  <si>
    <t>Services bancaires et assimilés</t>
  </si>
  <si>
    <t>Cotisations et divers</t>
  </si>
  <si>
    <t>TOTAL (1)</t>
  </si>
  <si>
    <t>Rémunérations du personnel</t>
  </si>
  <si>
    <t>Rémunérations de l'exploitant individuel (cas d'une EURL)</t>
  </si>
  <si>
    <t>Cotisations aux organismes sociaux</t>
  </si>
  <si>
    <t>Charges sociales de l'exploitant individuel (cas d'une EURL)</t>
  </si>
  <si>
    <t>Autres charges sociales</t>
  </si>
  <si>
    <t>Autres charges de personnels</t>
  </si>
  <si>
    <t>TOTAL (2)</t>
  </si>
  <si>
    <t>Impôts, taxes et versements assimilés</t>
  </si>
  <si>
    <t>Impôts, taxes et versements assimilés sur rémunérations</t>
  </si>
  <si>
    <t>Impôts et taxes non récupérables sur chiffres d'affaires</t>
  </si>
  <si>
    <t>Autres impôts et taxes (hors impôts sur les résultats</t>
  </si>
  <si>
    <t>TOTAL (3)</t>
  </si>
  <si>
    <t>TOTAL (1) +(2) +(3)</t>
  </si>
  <si>
    <t>4/ Autres charges et produits opérationnels :</t>
  </si>
  <si>
    <t>Redevances pour concessions, brevets, licences, logiciels et valeurs similaires</t>
  </si>
  <si>
    <t>Moins values sur sorties d'actifs immobilisés non financiers</t>
  </si>
  <si>
    <t>Jetons de présence</t>
  </si>
  <si>
    <t>Perte sur créances irrécouvrables</t>
  </si>
  <si>
    <t>Quote-part de résultat sur opérations faites en commun</t>
  </si>
  <si>
    <t>Amendes et pénalités, subventions accordées, dons et libéralités</t>
  </si>
  <si>
    <t>Charges exceptionnelles de gestion courante</t>
  </si>
  <si>
    <t>Autres charges de gestion courante</t>
  </si>
  <si>
    <t>Plus values sur sorties d'actifs immobilisés non financiers</t>
  </si>
  <si>
    <t>Jetons de présence et rémunérations d'administrateurs ou de gérant</t>
  </si>
  <si>
    <t>Quotes-parts de subventions d'investissement virées au résultat de l'exercice</t>
  </si>
  <si>
    <t>Rentrée sur créances amorties</t>
  </si>
  <si>
    <t>Produits exceptionnels sur opérations de gestion</t>
  </si>
  <si>
    <t>Autres produits de gestion courante</t>
  </si>
  <si>
    <t>5/ Tableau des amortissements et pertes de valeurs :</t>
  </si>
  <si>
    <t>Dotations</t>
  </si>
  <si>
    <t>Dotations de</t>
  </si>
  <si>
    <t>Rubriques et</t>
  </si>
  <si>
    <t>Diminutions</t>
  </si>
  <si>
    <t>Ecarts</t>
  </si>
  <si>
    <t>Cumulées en</t>
  </si>
  <si>
    <t>l'exercice</t>
  </si>
  <si>
    <t>cumulées en fin</t>
  </si>
  <si>
    <t>fiscales de</t>
  </si>
  <si>
    <t>Postes</t>
  </si>
  <si>
    <t>éléments sortis</t>
  </si>
  <si>
    <t>(1) - (2)</t>
  </si>
  <si>
    <t>début d'exercice</t>
  </si>
  <si>
    <t>(1)</t>
  </si>
  <si>
    <t>d'exercice</t>
  </si>
  <si>
    <t>l'exercice (2)</t>
  </si>
  <si>
    <t>Goodwill</t>
  </si>
  <si>
    <t>Participations</t>
  </si>
  <si>
    <t>Autres actifs financiers non courants</t>
  </si>
  <si>
    <t>6/ Tableau des immobilisations créées ou acquises au cours de l'exercice :</t>
  </si>
  <si>
    <t xml:space="preserve">Rubrique </t>
  </si>
  <si>
    <t xml:space="preserve">(Nature des immobilisations </t>
  </si>
  <si>
    <t>Montants bruts</t>
  </si>
  <si>
    <t>TVA déduite</t>
  </si>
  <si>
    <t>Montant net à amortir</t>
  </si>
  <si>
    <t>créées ou acquises à détailler)</t>
  </si>
  <si>
    <t>7/ Tableau des immobilisations cédées (plus ou moins value) au cours de l'exercice :</t>
  </si>
  <si>
    <t>Nature des immobilisations cédées</t>
  </si>
  <si>
    <t>Date acquisition</t>
  </si>
  <si>
    <t>Montant net figurant à l'actif</t>
  </si>
  <si>
    <t>Amortissements pratiqués</t>
  </si>
  <si>
    <t>Valeur nette comptable</t>
  </si>
  <si>
    <t>Prix de cession</t>
  </si>
  <si>
    <t>Plus ou moins value</t>
  </si>
  <si>
    <t>Plus value</t>
  </si>
  <si>
    <t>Moins value</t>
  </si>
  <si>
    <t>8/ Tableau des provisions et pertes de valeurs :</t>
  </si>
  <si>
    <t>Rubriques et postes</t>
  </si>
  <si>
    <t>Provisions cumulées en début d'exercice</t>
  </si>
  <si>
    <t>Dotations de L'exercice</t>
  </si>
  <si>
    <t>Reprises sur l'exercice</t>
  </si>
  <si>
    <t>Provisions cumulées en fin d'exercice</t>
  </si>
  <si>
    <t>-Pertes de valeurs sur stocks (à détailler pour chaque catégorie de stock sur état annexe)</t>
  </si>
  <si>
    <t>-Pertes de valeurs sur créances (1)</t>
  </si>
  <si>
    <t>-Pertes de valeurs sur actions et parts sociales (2)</t>
  </si>
  <si>
    <t>-Provisions pour pensions et obligations similaires</t>
  </si>
  <si>
    <t>-Provisions sur litiges</t>
  </si>
  <si>
    <t>-Autres provisions liées au personnel</t>
  </si>
  <si>
    <t>-Provisions pour impôts.</t>
  </si>
  <si>
    <t>-Autres provisions à détailler sur états annexes</t>
  </si>
  <si>
    <t>(1) A détailler en tableau 8/1</t>
  </si>
  <si>
    <t>(2) A détailler en tableau 8/2</t>
  </si>
  <si>
    <t>8/1 Relevé des pertes de valeurs sur créances :</t>
  </si>
  <si>
    <t>Désignation des débiteurs</t>
  </si>
  <si>
    <t>Valeur de la créance</t>
  </si>
  <si>
    <t>Perte de valeur constituée</t>
  </si>
  <si>
    <r>
      <rPr>
        <rFont val="Arial"/>
        <charset val="178"/>
        <family val="0"/>
        <b val="1"/>
        <sz val="9"/>
        <scheme val="none"/>
      </rPr>
      <t xml:space="preserve">8/2 </t>
    </r>
    <r>
      <rPr>
        <rFont val="Arial"/>
        <charset val="178"/>
        <family val="0"/>
        <b val="1"/>
        <sz val="9"/>
        <u val="single"/>
        <scheme val="none"/>
      </rPr>
      <t>Relevé des pertes de valeurs sur actions et parts sociales :</t>
    </r>
  </si>
  <si>
    <t>Filiales</t>
  </si>
  <si>
    <t>Valeur nominale au début de l'exercice</t>
  </si>
  <si>
    <r>
      <rPr>
        <rFont val="Arial"/>
        <charset val="178"/>
        <family val="0"/>
        <b val="1"/>
        <sz val="9"/>
        <scheme val="none"/>
      </rPr>
      <t xml:space="preserve">9/ </t>
    </r>
    <r>
      <rPr>
        <rFont val="Arial"/>
        <charset val="178"/>
        <family val="0"/>
        <b val="1"/>
        <sz val="9"/>
        <u val="single"/>
        <scheme val="none"/>
      </rPr>
      <t>Tableau de détermination du résultat fiscal :</t>
    </r>
  </si>
  <si>
    <t xml:space="preserve">I. Résultat net de l'exercice </t>
  </si>
  <si>
    <t>Bénéfice</t>
  </si>
  <si>
    <t>(Compte de résultat)</t>
  </si>
  <si>
    <t xml:space="preserve"> Perte</t>
  </si>
  <si>
    <t>II. Réintégration</t>
  </si>
  <si>
    <t>Charges des immeubles non affectés directement à l'exploitation</t>
  </si>
  <si>
    <t>Quote-part des cadeaux publicitaires non déductibles</t>
  </si>
  <si>
    <t>Quote-part du sponsoring et parrainage non déductibles</t>
  </si>
  <si>
    <t>Frais de réception non déductibles</t>
  </si>
  <si>
    <t>Cotisations et dons non déductibles</t>
  </si>
  <si>
    <t>Impôts et taxes non déductibles</t>
  </si>
  <si>
    <t>Provisions non déductibles</t>
  </si>
  <si>
    <t>Amortissements non déductibles</t>
  </si>
  <si>
    <t>Quote-part des frais de recherche développement non déductibles</t>
  </si>
  <si>
    <t>Amortissements non déductibles liés aux opérations de crédit bail (Preneur) (cf.art 27 de LFC 2010)</t>
  </si>
  <si>
    <t>Loyers hors produits financiers (bailleur) (cf.art 27 de LFC 2010)</t>
  </si>
  <si>
    <t>Impôts sur les bénéfices des sociétés</t>
  </si>
  <si>
    <t>Impôt exigible sur le résultat</t>
  </si>
  <si>
    <t>Impôt différé (variation)</t>
  </si>
  <si>
    <t>Pertes de valeurs non déductibles</t>
  </si>
  <si>
    <t>Amendes et pénalités</t>
  </si>
  <si>
    <r>
      <rPr>
        <rFont val="Arial"/>
        <charset val="178"/>
        <family val="0"/>
        <sz val="9"/>
        <scheme val="none"/>
      </rPr>
      <t>Autres réintégrations</t>
    </r>
    <r>
      <rPr>
        <rFont val="Arial"/>
        <charset val="178"/>
        <family val="0"/>
        <b val="1"/>
        <sz val="9"/>
        <scheme val="none"/>
      </rPr>
      <t xml:space="preserve"> (*)</t>
    </r>
  </si>
  <si>
    <t>Total des réintégrations</t>
  </si>
  <si>
    <t>III. Déductions</t>
  </si>
  <si>
    <r>
      <rPr>
        <rFont val="Arial"/>
        <charset val="178"/>
        <family val="0"/>
        <b val="1"/>
        <sz val="9"/>
        <scheme val="none"/>
      </rPr>
      <t xml:space="preserve"> </t>
    </r>
    <r>
      <rPr>
        <rFont val="Arial"/>
        <charset val="178"/>
        <family val="0"/>
        <sz val="9"/>
        <scheme val="none"/>
      </rPr>
      <t>Plus values sur cession d'éléments d'actif immobilisés (cf.art 173 du CIDTA)</t>
    </r>
  </si>
  <si>
    <t>Les produits et les plus values de cession des actions et titre assimilés ainsi que ceux des actions ou part d'OPCVM cotées en bourse.</t>
  </si>
  <si>
    <t>Les revenus provenant de la distribution des bénéfices ayant été soumis à l'impôt sur les bénéfices des sociétés ou expressément exonérés (cf.art 147 bis du CIDTA)</t>
  </si>
  <si>
    <t>Amortissements liés aux opérations de crédit bail (Bailleur) (cf.art 27 de LFC 2010)</t>
  </si>
  <si>
    <t>Loyers hors charges financières (Preneur) (cf.art 27 de LFC 2010)</t>
  </si>
  <si>
    <t>Complément d'amortissements</t>
  </si>
  <si>
    <r>
      <rPr>
        <rFont val="Arial"/>
        <charset val="178"/>
        <family val="0"/>
        <sz val="9"/>
        <scheme val="none"/>
      </rPr>
      <t>Autres déductions</t>
    </r>
    <r>
      <rPr>
        <rFont val="Arial"/>
        <charset val="178"/>
        <family val="0"/>
        <b val="1"/>
        <sz val="9"/>
        <scheme val="none"/>
      </rPr>
      <t xml:space="preserve"> (*)</t>
    </r>
  </si>
  <si>
    <t>Total des déductions</t>
  </si>
  <si>
    <r>
      <rPr>
        <rFont val="Arial"/>
        <charset val="178"/>
        <family val="0"/>
        <b val="1"/>
        <sz val="9"/>
        <scheme val="none"/>
      </rPr>
      <t>IV. Déficits antérieurs à déduire</t>
    </r>
    <r>
      <rPr>
        <rFont val="Arial"/>
        <charset val="178"/>
        <family val="0"/>
        <sz val="9"/>
        <scheme val="none"/>
      </rPr>
      <t xml:space="preserve"> (cf.art 147 du CIDTA) Déficit de l'année 20</t>
    </r>
  </si>
  <si>
    <t>Déficit de l'année 20</t>
  </si>
  <si>
    <t>Total des déficits à déduire</t>
  </si>
  <si>
    <t xml:space="preserve">Résultat fiscal (I+II-III-IV) </t>
  </si>
  <si>
    <t>Déficit</t>
  </si>
  <si>
    <t>10/ Tableau d'affectation du résultat et des réserves (N-1) :</t>
  </si>
  <si>
    <t>N-1)</t>
  </si>
  <si>
    <t>Origine</t>
  </si>
  <si>
    <t>Report à nouveau de l'exercice N-1 (à détailler)</t>
  </si>
  <si>
    <t>Résultat de l'exercice N-1</t>
  </si>
  <si>
    <t>Prélèvements sur réserves (à détailler)</t>
  </si>
  <si>
    <t>Affectation</t>
  </si>
  <si>
    <t>Réserves (à détailler)</t>
  </si>
  <si>
    <t>Augmentation du capital</t>
  </si>
  <si>
    <t>Dividendes</t>
  </si>
  <si>
    <t>Report à nouveau (à détailler)</t>
  </si>
  <si>
    <t>11/ Tableau des participations (filiales et entités associées) :</t>
  </si>
  <si>
    <t>Quote-part de capital détenu %</t>
  </si>
  <si>
    <t>Résultat Dernier exercice</t>
  </si>
  <si>
    <t>Prêts et avances accordées</t>
  </si>
  <si>
    <t>Valeur</t>
  </si>
  <si>
    <t>Filiales et entités associées</t>
  </si>
  <si>
    <t>Capitaux propres</t>
  </si>
  <si>
    <t>Dont capital</t>
  </si>
  <si>
    <t>Dividendes encaissés</t>
  </si>
  <si>
    <t>comptable des titres</t>
  </si>
  <si>
    <t>détenus</t>
  </si>
  <si>
    <t>Filiales :</t>
  </si>
  <si>
    <t>Entités associées</t>
  </si>
  <si>
    <t xml:space="preserve">12/ Commissions et courtages, redevances, honoraires, sous-traitance, rémunérations diverses </t>
  </si>
  <si>
    <t>et frais de siege :</t>
  </si>
  <si>
    <t>Désignation des personnes bénéficiaires</t>
  </si>
  <si>
    <t>Numéro d'identifiant fiscal</t>
  </si>
  <si>
    <t>Adresse</t>
  </si>
  <si>
    <t>Montant perçu</t>
  </si>
  <si>
    <t>13/ Taxe sur l'activité professionnelle :</t>
  </si>
  <si>
    <t>Lieu de payement de la TAP</t>
  </si>
  <si>
    <t>Chiffre d'affaires imposable Par commune</t>
  </si>
  <si>
    <t>Chiffre d'affaires exonéré</t>
  </si>
  <si>
    <t>TAP acquittée</t>
  </si>
  <si>
    <t>COMMUNE GHARDAIA</t>
  </si>
</sst>
</file>

<file path=xl/styles.xml><?xml version="1.0" encoding="utf-8"?>
<styleSheet xmlns="http://schemas.openxmlformats.org/spreadsheetml/2006/main">
  <numFmts count="12">
    <numFmt numFmtId="164" formatCode="dd/mm/yyyy"/>
    <numFmt numFmtId="165" formatCode="# ### ##0;-# ### ##0;;"/>
    <numFmt numFmtId="166" formatCode="# ### ##0;# ### ##0;;"/>
    <numFmt numFmtId="167" formatCode="# ##0.00"/>
    <numFmt numFmtId="168" formatCode="# ##0.00;# ##0.00;;"/>
    <numFmt numFmtId="169" formatCode="_-* # ##0.00_-;_-* # ##0.00-;_-* -??_-;_-@_-"/>
    <numFmt numFmtId="170" formatCode="# ##0;# ##0;;"/>
    <numFmt numFmtId="171" formatCode="0;0;;"/>
    <numFmt numFmtId="172" formatCode="0.0;0.0;;"/>
    <numFmt numFmtId="173" formatCode="_-* # ##0 _€_-;-* # ##0 _€_-;_-* -?? _€_-;_-@_-"/>
    <numFmt numFmtId="174" formatCode="# ##0.00&quot;  &quot;"/>
    <numFmt numFmtId="175" formatCode="_-* #,##0.00 _ _-;-* #,##0.00 _ _-;_-* -?? _ _-;_-@_-"/>
  </numFmts>
  <fonts count="32">
    <font>
      <sz val="11"/>
      <color rgb="FF000000"/>
      <name val="Calibri"/>
      <family val="2"/>
      <charset val="178"/>
    </font>
    <font>
      <sz val="10"/>
      <name val="Arial"/>
      <family val="0"/>
      <charset val="178"/>
    </font>
    <font>
      <b/>
      <sz val="9"/>
      <name val="Arial"/>
      <family val="0"/>
      <charset val="178"/>
    </font>
    <font>
      <sz val="11"/>
      <name val="Arial"/>
      <family val="0"/>
      <charset val="178"/>
    </font>
    <font>
      <b/>
      <u/>
      <sz val="9"/>
      <name val="Arial"/>
      <family val="0"/>
      <charset val="178"/>
    </font>
    <font>
      <b/>
      <sz val="7"/>
      <name val="Arial"/>
      <family val="0"/>
      <charset val="178"/>
    </font>
    <font>
      <sz val="8"/>
      <name val="Arial"/>
      <family val="0"/>
      <charset val="178"/>
    </font>
    <font>
      <sz val="9"/>
      <name val="Arial"/>
      <family val="0"/>
      <charset val="178"/>
    </font>
    <font>
      <sz val="10"/>
      <color rgb="FFFF0000"/>
      <name val="Arial"/>
      <family val="0"/>
      <charset val="178"/>
    </font>
    <font>
      <sz val="10"/>
      <color rgb="FF993300"/>
      <name val="Arial"/>
      <family val="0"/>
      <charset val="178"/>
    </font>
    <font>
      <b/>
      <sz val="8"/>
      <name val="Arial"/>
      <family val="0"/>
      <charset val="178"/>
    </font>
    <font>
      <sz val="10"/>
      <color rgb="FFFFFFFF"/>
      <name val="Arial"/>
      <family val="0"/>
      <charset val="178"/>
    </font>
    <font>
      <sz val="7"/>
      <name val="Arial"/>
      <family val="0"/>
      <charset val="178"/>
    </font>
    <font>
      <b/>
      <sz val="10"/>
      <name val="Arial"/>
      <family val="0"/>
      <charset val="178"/>
    </font>
    <font>
      <sz val="8"/>
      <color rgb="FF000000"/>
      <name val="Calibri"/>
      <family val="0"/>
      <charset val="178"/>
    </font>
    <font>
      <sz val="9"/>
      <color rgb="FF000000"/>
      <name val="Calibri"/>
      <family val="0"/>
      <charset val="178"/>
    </font>
    <font>
      <sz val="11"/>
      <color rgb="FFFFFFFF"/>
      <name val="Calibri"/>
      <family val="0"/>
      <charset val="178"/>
    </font>
    <font>
      <sz val="11"/>
      <color rgb="FF800000"/>
      <name val="Calibri"/>
      <family val="0"/>
      <charset val="178"/>
    </font>
    <font>
      <b/>
      <sz val="11"/>
      <color rgb="FFFF6600"/>
      <name val="Calibri"/>
      <family val="0"/>
      <charset val="178"/>
    </font>
    <font>
      <b/>
      <sz val="11"/>
      <color rgb="FFFFFFFF"/>
      <name val="Calibri"/>
      <family val="0"/>
      <charset val="178"/>
    </font>
    <font>
      <i/>
      <sz val="11"/>
      <color rgb="FF808080"/>
      <name val="Calibri"/>
      <family val="0"/>
      <charset val="178"/>
    </font>
    <font>
      <sz val="11"/>
      <color rgb="FF008000"/>
      <name val="Calibri"/>
      <family val="0"/>
      <charset val="178"/>
    </font>
    <font>
      <b/>
      <sz val="15"/>
      <color rgb="FF333399"/>
      <name val="Calibri"/>
      <family val="0"/>
      <charset val="178"/>
    </font>
    <font>
      <b/>
      <sz val="13"/>
      <color rgb="FF333399"/>
      <name val="Calibri"/>
      <family val="0"/>
      <charset val="178"/>
    </font>
    <font>
      <b/>
      <sz val="11"/>
      <color rgb="FF333399"/>
      <name val="Calibri"/>
      <family val="0"/>
      <charset val="178"/>
    </font>
    <font>
      <sz val="11"/>
      <color rgb="FF333399"/>
      <name val="Calibri"/>
      <family val="0"/>
      <charset val="178"/>
    </font>
    <font>
      <sz val="11"/>
      <color rgb="FFFF6600"/>
      <name val="Calibri"/>
      <family val="0"/>
      <charset val="178"/>
    </font>
    <font>
      <sz val="11"/>
      <color rgb="FF993300"/>
      <name val="Calibri"/>
      <family val="0"/>
      <charset val="178"/>
    </font>
    <font>
      <b/>
      <sz val="11"/>
      <color rgb="FF333333"/>
      <name val="Calibri"/>
      <family val="0"/>
      <charset val="178"/>
    </font>
    <font>
      <b/>
      <sz val="18"/>
      <color rgb="FF333399"/>
      <name val="Cambria"/>
      <family val="0"/>
      <charset val="178"/>
    </font>
    <font>
      <b/>
      <sz val="11"/>
      <color rgb="FF000000"/>
      <name val="Calibri"/>
      <family val="0"/>
      <charset val="178"/>
    </font>
    <font>
      <sz val="11"/>
      <color rgb="FFFF0000"/>
      <name val="Calibri"/>
      <family val="0"/>
      <charset val="17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CCCCFF"/>
        <bgColor rgb="FFC0C0C0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CC99FF"/>
        <bgColor rgb="FF9999FF"/>
      </patternFill>
    </fill>
    <fill>
      <patternFill patternType="solid">
        <fgColor rgb="FF666699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99CC00"/>
        <bgColor rgb="FFFFCC00"/>
      </patternFill>
    </fill>
    <fill>
      <patternFill patternType="solid">
        <fgColor rgb="FF33CCCC"/>
        <bgColor rgb="FF00CCFF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33">
    <border/>
    <border>
      <left style="thin"/>
      <right style="thin"/>
      <top style="thin"/>
      <bottom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top style="thin"/>
    </border>
    <border>
      <top style="thin"/>
      <bottom style="thin"/>
    </border>
    <border>
      <left style="thin"/>
      <right style="thin"/>
      <top style="thin"/>
    </border>
    <border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top style="thin"/>
      <bottom style="thin"/>
    </border>
    <border>
      <left style="medium"/>
    </border>
    <border>
      <left style="medium"/>
      <right style="medium"/>
      <top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top style="medium"/>
    </border>
    <border>
      <top style="medium"/>
    </border>
    <border>
      <right style="medium"/>
      <top style="medium"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</border>
    <border>
      <bottom style="thick">
        <color rgb="FF666699"/>
      </bottom>
    </border>
    <border>
      <bottom style="thick">
        <color rgb="FF99CCFF"/>
      </bottom>
    </border>
    <border>
      <bottom style="medium">
        <color rgb="FF99CCFF"/>
      </bottom>
    </border>
    <border>
      <bottom style="double">
        <color rgb="FFFF99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top style="thin">
        <color rgb="FF666699"/>
      </top>
      <bottom style="double">
        <color rgb="FF666699"/>
      </bottom>
    </border>
  </borders>
  <cellStyleXfs count="43">
    <xf numFmtId="0" fontId="0" fillId="0" borderId="0"/>
    <xf numFmtId="175" fontId="0" fillId="0" borderId="0" applyBorder="0" applyProtection="0"/>
    <xf numFmtId="0" fontId="0" fillId="4" borderId="0" applyBorder="0" applyProtection="0"/>
    <xf numFmtId="0" fontId="0" fillId="5" borderId="0" applyBorder="0" applyProtection="0"/>
    <xf numFmtId="0" fontId="0" fillId="6" borderId="0" applyBorder="0" applyProtection="0"/>
    <xf numFmtId="0" fontId="0" fillId="4" borderId="0" applyBorder="0" applyProtection="0"/>
    <xf numFmtId="0" fontId="0" fillId="7" borderId="0" applyBorder="0" applyProtection="0"/>
    <xf numFmtId="0" fontId="0" fillId="6" borderId="0" applyBorder="0" applyProtection="0"/>
    <xf numFmtId="0" fontId="0" fillId="8" borderId="0" applyBorder="0" applyProtection="0"/>
    <xf numFmtId="0" fontId="0" fillId="9" borderId="0" applyBorder="0" applyProtection="0"/>
    <xf numFmtId="0" fontId="0" fillId="10" borderId="0" applyBorder="0" applyProtection="0"/>
    <xf numFmtId="0" fontId="0" fillId="11" borderId="0" applyBorder="0" applyProtection="0"/>
    <xf numFmtId="0" fontId="0" fillId="8" borderId="0" applyBorder="0" applyProtection="0"/>
    <xf numFmtId="0" fontId="0" fillId="5" borderId="0" applyBorder="0" applyProtection="0"/>
    <xf numFmtId="0" fontId="16" fillId="8" borderId="0" applyBorder="0" applyProtection="0"/>
    <xf numFmtId="0" fontId="16" fillId="9" borderId="0" applyBorder="0" applyProtection="0"/>
    <xf numFmtId="0" fontId="16" fillId="10" borderId="0" applyBorder="0" applyProtection="0"/>
    <xf numFmtId="0" fontId="16" fillId="11" borderId="0" applyBorder="0" applyProtection="0"/>
    <xf numFmtId="0" fontId="16" fillId="8" borderId="0" applyBorder="0" applyProtection="0"/>
    <xf numFmtId="0" fontId="16" fillId="5" borderId="0" applyBorder="0" applyProtection="0"/>
    <xf numFmtId="0" fontId="16" fillId="12" borderId="0" applyBorder="0" applyProtection="0"/>
    <xf numFmtId="0" fontId="16" fillId="13" borderId="0" applyBorder="0" applyProtection="0"/>
    <xf numFmtId="0" fontId="16" fillId="14" borderId="0" applyBorder="0" applyProtection="0"/>
    <xf numFmtId="0" fontId="16" fillId="12" borderId="0" applyBorder="0" applyProtection="0"/>
    <xf numFmtId="0" fontId="16" fillId="15" borderId="0" applyBorder="0" applyProtection="0"/>
    <xf numFmtId="0" fontId="16" fillId="16" borderId="0" applyBorder="0" applyProtection="0"/>
    <xf numFmtId="0" fontId="17" fillId="17" borderId="0" applyBorder="0" applyProtection="0"/>
    <xf numFmtId="0" fontId="18" fillId="2" borderId="24" applyProtection="0"/>
    <xf numFmtId="0" fontId="19" fillId="18" borderId="25" applyProtection="0"/>
    <xf numFmtId="0" fontId="20" fillId="0" borderId="0" applyBorder="0" applyProtection="0"/>
    <xf numFmtId="0" fontId="21" fillId="19" borderId="0" applyBorder="0" applyProtection="0"/>
    <xf numFmtId="0" fontId="22" fillId="0" borderId="26" applyProtection="0"/>
    <xf numFmtId="0" fontId="23" fillId="0" borderId="27" applyProtection="0"/>
    <xf numFmtId="0" fontId="24" fillId="0" borderId="28" applyProtection="0"/>
    <xf numFmtId="0" fontId="24" fillId="0" borderId="0" applyBorder="0" applyProtection="0"/>
    <xf numFmtId="0" fontId="25" fillId="5" borderId="24" applyProtection="0"/>
    <xf numFmtId="0" fontId="26" fillId="0" borderId="29" applyProtection="0"/>
    <xf numFmtId="0" fontId="27" fillId="10" borderId="0" applyBorder="0" applyProtection="0"/>
    <xf numFmtId="0" fontId="0" fillId="6" borderId="30" applyProtection="0"/>
    <xf numFmtId="0" fontId="28" fillId="2" borderId="31" applyProtection="0"/>
    <xf numFmtId="0" fontId="29" fillId="0" borderId="0" applyBorder="0" applyProtection="0"/>
    <xf numFmtId="0" fontId="30" fillId="0" borderId="32" applyProtection="0"/>
    <xf numFmtId="0" fontId="31" fillId="0" borderId="0" applyBorder="0" applyProtection="0"/>
  </cellStyleXfs>
  <cellXfs count="316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4" fontId="6" fillId="0" borderId="0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7" fontId="1" fillId="0" borderId="0" xfId="0" applyNumberFormat="1" applyFont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right" vertical="center"/>
    </xf>
    <xf numFmtId="166" fontId="2" fillId="0" borderId="1" xfId="1" applyNumberFormat="1" applyFont="1" applyBorder="1" applyAlignment="1" applyProtection="1">
      <alignment vertical="center"/>
    </xf>
    <xf numFmtId="167" fontId="1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168" fontId="6" fillId="0" borderId="0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 applyProtection="1">
      <alignment horizontal="center" vertical="center"/>
      <protection hidden="1"/>
    </xf>
    <xf numFmtId="0" fontId="2" fillId="0" borderId="11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166" fontId="2" fillId="0" borderId="1" xfId="1" applyNumberFormat="1" applyFont="1" applyBorder="1" applyAlignment="1" applyProtection="1">
      <alignment horizontal="right" vertical="center"/>
    </xf>
    <xf numFmtId="166" fontId="1" fillId="0" borderId="0" xfId="0" applyNumberFormat="1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2" fontId="1" fillId="0" borderId="0" xfId="0" applyNumberFormat="1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166" fontId="2" fillId="0" borderId="12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Border="1"/>
    <xf numFmtId="0" fontId="3" fillId="0" borderId="15" xfId="0" applyFont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4" fontId="1" fillId="0" borderId="0" xfId="0" applyNumberFormat="1" applyFont="1" applyAlignment="1">
      <alignment vertical="center"/>
    </xf>
    <xf numFmtId="0" fontId="0" fillId="0" borderId="2" xfId="0" applyBorder="1" applyAlignment="1">
      <alignment horizontal="left" vertical="center"/>
    </xf>
    <xf numFmtId="4" fontId="1" fillId="0" borderId="3" xfId="0" applyNumberFormat="1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4" fontId="1" fillId="0" borderId="5" xfId="0" applyNumberFormat="1" applyFont="1" applyBorder="1" applyAlignment="1">
      <alignment vertical="center"/>
    </xf>
    <xf numFmtId="0" fontId="0" fillId="0" borderId="6" xfId="0" applyBorder="1" applyAlignment="1">
      <alignment horizontal="left" vertical="center"/>
    </xf>
    <xf numFmtId="4" fontId="1" fillId="0" borderId="7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vertical="center"/>
    </xf>
    <xf numFmtId="4" fontId="2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right" vertical="center"/>
    </xf>
    <xf numFmtId="165" fontId="13" fillId="3" borderId="1" xfId="0" applyNumberFormat="1" applyFont="1" applyFill="1" applyBorder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4" fontId="13" fillId="3" borderId="1" xfId="0" applyNumberFormat="1" applyFont="1" applyFill="1" applyBorder="1" applyAlignment="1">
      <alignment horizontal="center" vertical="center"/>
    </xf>
    <xf numFmtId="170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1" fillId="3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166" fontId="2" fillId="0" borderId="20" xfId="0" applyNumberFormat="1" applyFont="1" applyBorder="1" applyAlignment="1">
      <alignment horizontal="right" vertical="center"/>
    </xf>
    <xf numFmtId="166" fontId="2" fillId="0" borderId="17" xfId="0" applyNumberFormat="1" applyFont="1" applyBorder="1" applyAlignment="1">
      <alignment horizontal="right" vertical="center"/>
    </xf>
    <xf numFmtId="0" fontId="2" fillId="0" borderId="20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 wrapText="1"/>
    </xf>
    <xf numFmtId="0" fontId="0" fillId="0" borderId="15" xfId="0" applyBorder="1"/>
    <xf numFmtId="0" fontId="3" fillId="0" borderId="1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 wrapText="1"/>
    </xf>
    <xf numFmtId="170" fontId="7" fillId="0" borderId="1" xfId="0" applyNumberFormat="1" applyFont="1" applyBorder="1" applyAlignment="1">
      <alignment horizontal="left" vertical="center"/>
    </xf>
    <xf numFmtId="170" fontId="7" fillId="0" borderId="1" xfId="0" applyNumberFormat="1" applyFont="1" applyBorder="1" applyAlignment="1">
      <alignment horizontal="right" vertical="center"/>
    </xf>
    <xf numFmtId="170" fontId="7" fillId="0" borderId="1" xfId="0" applyNumberFormat="1" applyFont="1" applyBorder="1" applyAlignment="1">
      <alignment vertical="center"/>
    </xf>
    <xf numFmtId="170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170" fontId="7" fillId="0" borderId="11" xfId="0" applyNumberFormat="1" applyFont="1" applyBorder="1" applyAlignment="1">
      <alignment horizontal="left" vertical="center"/>
    </xf>
    <xf numFmtId="164" fontId="7" fillId="0" borderId="11" xfId="0" applyNumberFormat="1" applyFont="1" applyBorder="1" applyAlignment="1">
      <alignment horizontal="center" vertical="center"/>
    </xf>
    <xf numFmtId="170" fontId="7" fillId="0" borderId="15" xfId="0" applyNumberFormat="1" applyFont="1" applyBorder="1" applyAlignment="1">
      <alignment horizontal="left" vertical="center"/>
    </xf>
    <xf numFmtId="170" fontId="2" fillId="0" borderId="12" xfId="0" applyNumberFormat="1" applyFont="1" applyBorder="1" applyAlignment="1">
      <alignment horizontal="center" vertical="center"/>
    </xf>
    <xf numFmtId="170" fontId="7" fillId="0" borderId="1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4" fontId="7" fillId="0" borderId="1" xfId="0" applyNumberFormat="1" applyFont="1" applyBorder="1" applyAlignment="1">
      <alignment horizontal="right" vertical="center"/>
    </xf>
    <xf numFmtId="4" fontId="6" fillId="0" borderId="15" xfId="0" applyNumberFormat="1" applyFont="1" applyBorder="1" applyAlignment="1">
      <alignment horizontal="right" vertical="center"/>
    </xf>
    <xf numFmtId="4" fontId="6" fillId="0" borderId="12" xfId="0" applyNumberFormat="1" applyFont="1" applyBorder="1" applyAlignment="1">
      <alignment horizontal="right" vertical="center"/>
    </xf>
    <xf numFmtId="4" fontId="6" fillId="0" borderId="10" xfId="0" applyNumberFormat="1" applyFont="1" applyBorder="1" applyAlignment="1">
      <alignment horizontal="right" vertical="center"/>
    </xf>
    <xf numFmtId="4" fontId="6" fillId="0" borderId="4" xfId="0" applyNumberFormat="1" applyFont="1" applyBorder="1" applyAlignment="1">
      <alignment horizontal="right" vertical="center"/>
    </xf>
    <xf numFmtId="4" fontId="6" fillId="0" borderId="5" xfId="0" applyNumberFormat="1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" fontId="6" fillId="0" borderId="1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" fontId="6" fillId="0" borderId="14" xfId="0" applyNumberFormat="1" applyFont="1" applyBorder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4" fontId="6" fillId="0" borderId="3" xfId="0" applyNumberFormat="1" applyFont="1" applyBorder="1" applyAlignment="1">
      <alignment horizontal="right" vertical="center"/>
    </xf>
    <xf numFmtId="4" fontId="6" fillId="0" borderId="7" xfId="0" applyNumberFormat="1" applyFont="1" applyBorder="1" applyAlignment="1">
      <alignment horizontal="right" vertical="center"/>
    </xf>
    <xf numFmtId="4" fontId="6" fillId="0" borderId="0" xfId="0" applyNumberFormat="1" applyFont="1" applyAlignment="1">
      <alignment horizontal="right"/>
    </xf>
    <xf numFmtId="171" fontId="6" fillId="0" borderId="0" xfId="0" applyNumberFormat="1" applyFont="1" applyAlignment="1">
      <alignment horizontal="right" vertical="center"/>
    </xf>
    <xf numFmtId="0" fontId="2" fillId="3" borderId="1" xfId="0" applyFont="1" applyFill="1" applyBorder="1" applyAlignment="1">
      <alignment horizontal="justify" vertical="center"/>
    </xf>
    <xf numFmtId="0" fontId="1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2" fillId="3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70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4" fontId="7" fillId="0" borderId="9" xfId="0" applyNumberFormat="1" applyFont="1" applyBorder="1" applyAlignment="1">
      <alignment horizontal="right" vertical="center"/>
    </xf>
    <xf numFmtId="4" fontId="7" fillId="0" borderId="3" xfId="0" applyNumberFormat="1" applyFont="1" applyBorder="1" applyAlignment="1">
      <alignment horizontal="right" vertical="center"/>
    </xf>
    <xf numFmtId="0" fontId="10" fillId="0" borderId="1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4" fontId="7" fillId="0" borderId="0" xfId="0" applyNumberFormat="1" applyFont="1" applyBorder="1" applyAlignment="1">
      <alignment horizontal="right" vertical="center"/>
    </xf>
    <xf numFmtId="4" fontId="7" fillId="0" borderId="5" xfId="0" applyNumberFormat="1" applyFont="1" applyBorder="1" applyAlignment="1">
      <alignment horizontal="right" vertical="center"/>
    </xf>
    <xf numFmtId="0" fontId="10" fillId="0" borderId="14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4" fontId="7" fillId="0" borderId="8" xfId="0" applyNumberFormat="1" applyFont="1" applyBorder="1" applyAlignment="1">
      <alignment horizontal="right" vertical="center"/>
    </xf>
    <xf numFmtId="4" fontId="7" fillId="0" borderId="7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14" fillId="0" borderId="0" xfId="0" applyFont="1"/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6" fillId="3" borderId="0" xfId="0" applyFont="1" applyFill="1" applyAlignment="1">
      <alignment horizontal="center" vertical="center"/>
    </xf>
    <xf numFmtId="171" fontId="6" fillId="0" borderId="0" xfId="0" applyNumberFormat="1" applyFont="1" applyAlignment="1">
      <alignment vertical="center"/>
    </xf>
    <xf numFmtId="172" fontId="6" fillId="0" borderId="0" xfId="0" applyNumberFormat="1" applyFont="1" applyAlignment="1">
      <alignment vertical="center"/>
    </xf>
    <xf numFmtId="4" fontId="10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0" fontId="6" fillId="0" borderId="1" xfId="0" applyNumberFormat="1" applyFont="1" applyBorder="1" applyAlignment="1">
      <alignment horizontal="right" vertical="center"/>
    </xf>
    <xf numFmtId="170" fontId="10" fillId="0" borderId="1" xfId="0" applyNumberFormat="1" applyFont="1" applyBorder="1" applyAlignment="1">
      <alignment horizontal="right" vertical="center"/>
    </xf>
    <xf numFmtId="173" fontId="6" fillId="0" borderId="1" xfId="0" applyNumberFormat="1" applyFont="1" applyBorder="1" applyAlignment="1">
      <alignment horizontal="right" vertical="center"/>
    </xf>
    <xf numFmtId="0" fontId="10" fillId="3" borderId="15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172" fontId="10" fillId="3" borderId="17" xfId="0" applyNumberFormat="1" applyFont="1" applyFill="1" applyBorder="1" applyAlignment="1">
      <alignment horizontal="center" vertical="center" wrapText="1"/>
    </xf>
    <xf numFmtId="4" fontId="6" fillId="3" borderId="17" xfId="0" applyNumberFormat="1" applyFont="1" applyFill="1" applyBorder="1" applyAlignment="1">
      <alignment horizontal="right" vertical="center"/>
    </xf>
    <xf numFmtId="4" fontId="10" fillId="3" borderId="17" xfId="0" applyNumberFormat="1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4" fontId="10" fillId="3" borderId="18" xfId="0" applyNumberFormat="1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4" fontId="6" fillId="3" borderId="18" xfId="0" applyNumberFormat="1" applyFont="1" applyFill="1" applyBorder="1" applyAlignment="1">
      <alignment horizontal="right" vertical="center"/>
    </xf>
    <xf numFmtId="4" fontId="10" fillId="3" borderId="18" xfId="0" applyNumberFormat="1" applyFont="1" applyFill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170" fontId="6" fillId="0" borderId="11" xfId="0" applyNumberFormat="1" applyFont="1" applyBorder="1" applyAlignment="1">
      <alignment horizontal="center" vertical="center"/>
    </xf>
    <xf numFmtId="170" fontId="6" fillId="0" borderId="11" xfId="0" applyNumberFormat="1" applyFont="1" applyBorder="1" applyAlignment="1">
      <alignment horizontal="left" vertical="center"/>
    </xf>
    <xf numFmtId="170" fontId="6" fillId="0" borderId="1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170" fontId="6" fillId="0" borderId="13" xfId="0" applyNumberFormat="1" applyFont="1" applyBorder="1" applyAlignment="1">
      <alignment horizontal="center" vertical="center"/>
    </xf>
    <xf numFmtId="170" fontId="6" fillId="0" borderId="13" xfId="0" applyNumberFormat="1" applyFont="1" applyBorder="1" applyAlignment="1">
      <alignment horizontal="left" vertical="center"/>
    </xf>
    <xf numFmtId="170" fontId="6" fillId="0" borderId="13" xfId="0" applyNumberFormat="1" applyFont="1" applyBorder="1" applyAlignment="1">
      <alignment horizontal="right" vertical="center"/>
    </xf>
    <xf numFmtId="0" fontId="6" fillId="0" borderId="16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170" fontId="6" fillId="0" borderId="3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170" fontId="6" fillId="0" borderId="13" xfId="0" applyNumberFormat="1" applyFont="1" applyBorder="1" applyAlignment="1">
      <alignment vertical="center"/>
    </xf>
    <xf numFmtId="170" fontId="6" fillId="0" borderId="5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170" fontId="6" fillId="0" borderId="14" xfId="0" applyNumberFormat="1" applyFont="1" applyBorder="1" applyAlignment="1">
      <alignment horizontal="center" vertical="center"/>
    </xf>
    <xf numFmtId="170" fontId="6" fillId="0" borderId="14" xfId="0" applyNumberFormat="1" applyFont="1" applyBorder="1" applyAlignment="1">
      <alignment vertical="center"/>
    </xf>
    <xf numFmtId="170" fontId="6" fillId="0" borderId="14" xfId="0" applyNumberFormat="1" applyFont="1" applyBorder="1" applyAlignment="1">
      <alignment horizontal="right" vertical="center"/>
    </xf>
    <xf numFmtId="170" fontId="6" fillId="0" borderId="7" xfId="0" applyNumberFormat="1" applyFont="1" applyBorder="1" applyAlignment="1">
      <alignment horizontal="right" vertical="center"/>
    </xf>
    <xf numFmtId="172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72" fontId="7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72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3" xfId="0" applyFont="1" applyBorder="1"/>
    <xf numFmtId="0" fontId="7" fillId="0" borderId="4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5" xfId="0" applyFont="1" applyBorder="1"/>
    <xf numFmtId="0" fontId="7" fillId="0" borderId="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7" xfId="0" applyFont="1" applyBorder="1"/>
    <xf numFmtId="0" fontId="15" fillId="0" borderId="0" xfId="0" applyFont="1"/>
    <xf numFmtId="0" fontId="7" fillId="0" borderId="8" xfId="0" applyFont="1" applyBorder="1" applyAlignment="1">
      <alignment horizontal="center" vertical="center"/>
    </xf>
    <xf numFmtId="0" fontId="14" fillId="0" borderId="15" xfId="0" applyFont="1" applyBorder="1" applyAlignment="1">
      <alignment horizontal="right"/>
    </xf>
    <xf numFmtId="0" fontId="6" fillId="0" borderId="1" xfId="0" applyFont="1" applyBorder="1" applyAlignment="1">
      <alignment horizontal="right" vertical="center"/>
    </xf>
    <xf numFmtId="0" fontId="10" fillId="3" borderId="11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171" fontId="6" fillId="3" borderId="7" xfId="0" applyNumberFormat="1" applyFont="1" applyFill="1" applyBorder="1" applyAlignment="1">
      <alignment horizontal="center" vertical="center"/>
    </xf>
    <xf numFmtId="172" fontId="6" fillId="0" borderId="0" xfId="0" applyNumberFormat="1" applyFont="1" applyAlignment="1">
      <alignment horizontal="center" vertical="center"/>
    </xf>
    <xf numFmtId="172" fontId="10" fillId="3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6" fontId="10" fillId="0" borderId="0" xfId="0" applyNumberFormat="1" applyFont="1" applyAlignment="1">
      <alignment vertical="center"/>
    </xf>
    <xf numFmtId="172" fontId="10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4" fontId="1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right" vertical="center" wrapText="1"/>
    </xf>
    <xf numFmtId="172" fontId="1" fillId="0" borderId="0" xfId="0" applyNumberFormat="1" applyFont="1" applyAlignment="1">
      <alignment horizontal="center" vertical="center"/>
    </xf>
  </cellXfs>
  <cellStyles count="43">
    <cellStyle name="Normal" xfId="0" builtinId="0"/>
    <cellStyle name="Comma" xfId="1" builtinId="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2" xfId="21"/>
    <cellStyle name="Accent3" xfId="22"/>
    <cellStyle name="Accent4" xfId="23"/>
    <cellStyle name="Accent5" xfId="24"/>
    <cellStyle name="Accent6" xfId="25"/>
    <cellStyle name="Bad 1" xfId="26"/>
    <cellStyle name="Calculation" xfId="27"/>
    <cellStyle name="Check Cell" xfId="28"/>
    <cellStyle name="Explanatory Text" xfId="29"/>
    <cellStyle name="Good 1" xfId="30"/>
    <cellStyle name="Heading 1 1" xfId="31"/>
    <cellStyle name="Heading 2 1" xfId="32"/>
    <cellStyle name="Heading 3" xfId="33"/>
    <cellStyle name="Heading 4" xfId="34"/>
    <cellStyle name="Input" xfId="35"/>
    <cellStyle name="Linked Cell" xfId="36"/>
    <cellStyle name="Neutral 1" xfId="37"/>
    <cellStyle name="Note 1" xfId="38"/>
    <cellStyle name="Output" xfId="39"/>
    <cellStyle name="Title" xfId="40"/>
    <cellStyle name="Total" xfId="41"/>
    <cellStyle name="Warning Text" xfId="42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externalLink" Target="externalLinks/externalLink1.xml" /><Relationship Id="rId13" Type="http://schemas.openxmlformats.org/officeDocument/2006/relationships/styles" Target="styles.xml" /><Relationship Id="rId14" Type="http://schemas.openxmlformats.org/officeDocument/2006/relationships/theme" Target="theme/theme1.xml" /><Relationship Id="rId15" Type="http://schemas.openxmlformats.org/officeDocument/2006/relationships/calcChain" Target="calcChain.xml" /><Relationship Id="rId16" Type="http://schemas.openxmlformats.org/officeDocument/2006/relationships/sharedStrings" Target="sharedString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EXCEL/Documents%20and%20Settings/User-47/Bureau/ELDJAWDA%201/EL%20DJAWDA/LIASSE_FISCALE_VIERGE1_2010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CTIF"/>
      <sheetName val="PASSIF"/>
      <sheetName val="TCR"/>
      <sheetName val="TAB_MOUV 1_2"/>
      <sheetName val="CHARG 3_4"/>
      <sheetName val="AMORT_IMMOB 5_6"/>
      <sheetName val="IMMOB_CED_PROV_PER_VAL 7_8"/>
      <sheetName val="REL_PERT_VAL8_1 &amp; 8_2"/>
      <sheetName val="DET_RES F _ DEDUCT_DEFIC_9"/>
      <sheetName val="AFF_RES_10_PART_FIL_11"/>
      <sheetName val="COMMIS_12 &amp; TAP_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F9" t="str">
            <v>au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zoomScalePageLayoutView="100" workbookViewId="0" topLeftCell="A4">
      <selection activeCell="A11" sqref="A11"/>
    </sheetView>
  </sheetViews>
  <sheetFormatPr defaultColWidth="11.42188" defaultRowHeight="15"/>
  <cols>
    <col min="1" max="1" width="32.71094" style="3" customWidth="1"/>
    <col min="2" max="2" width="3.710938" style="3" customWidth="1"/>
    <col min="3" max="3" width="3.851563" style="3" customWidth="1"/>
    <col min="4" max="4" width="11.71094" style="2" customWidth="1"/>
    <col min="5" max="5" width="11.00391" style="2" customWidth="1"/>
    <col min="6" max="7" width="10.57422" style="2" customWidth="1"/>
    <col min="8" max="8" width="16.42188" style="3" customWidth="1"/>
    <col min="9" max="9" width="15.00391" style="3" customWidth="1"/>
    <col min="10" max="257" width="11.42188" style="3"/>
  </cols>
  <sheetData>
    <row r="1">
      <c r="A1" s="4" t="s">
        <v>0</v>
      </c>
      <c r="B1" s="5"/>
      <c r="C1" s="6" t="s">
        <v>1</v>
      </c>
      <c r="D1" s="7" t="str">
        <f ca="1">NIF()</f>
        <v>195847070002536</v>
      </c>
      <c r="E1" s="7"/>
    </row>
    <row r="3" ht="4.5" customHeight="1"/>
    <row r="4">
      <c r="A4" s="8" t="s">
        <v>2</v>
      </c>
      <c r="B4" s="9" t="str">
        <f ca="1">Client()</f>
        <v>BAROUD DJELLOUL E.T.E.H.B.</v>
      </c>
      <c r="C4" s="9"/>
      <c r="D4" s="9"/>
      <c r="E4" s="9"/>
      <c r="F4" s="9"/>
      <c r="G4" s="10"/>
    </row>
    <row r="5">
      <c r="A5" s="11" t="s">
        <v>3</v>
      </c>
      <c r="B5" s="12" t="str">
        <f ca="1">ACT()</f>
        <v>BP 377; BENI-ISGUEN.BOUNOURA.</v>
      </c>
      <c r="C5" s="12"/>
      <c r="D5" s="12"/>
      <c r="E5" s="12"/>
      <c r="F5" s="12"/>
      <c r="G5" s="13"/>
    </row>
    <row r="6">
      <c r="A6" s="14" t="s">
        <v>4</v>
      </c>
      <c r="B6" s="15" t="str">
        <f ca="1">ADRS()</f>
        <v/>
      </c>
      <c r="C6" s="15"/>
      <c r="D6" s="15"/>
      <c r="E6" s="15"/>
      <c r="F6" s="15"/>
      <c r="G6" s="16"/>
    </row>
    <row r="7" ht="6" customHeight="1">
      <c r="A7" s="17"/>
      <c r="B7" s="18"/>
      <c r="C7" s="18"/>
      <c r="D7" s="18"/>
      <c r="E7" s="18"/>
    </row>
    <row r="8" ht="16.5" customHeight="1">
      <c r="B8" s="19" t="s">
        <v>5</v>
      </c>
      <c r="C8" s="19"/>
      <c r="D8" s="19"/>
      <c r="E8" s="20">
        <f ca="1">DATE(Exercice(),"12","31")</f>
        <v>43830</v>
      </c>
      <c r="F8" s="20"/>
      <c r="G8" s="20"/>
    </row>
    <row r="9" ht="9" customHeight="1"/>
    <row r="10">
      <c r="A10" s="3">
        <f ca="1">Exercice()</f>
        <v>2019</v>
      </c>
      <c r="B10" s="21" t="s">
        <v>6</v>
      </c>
      <c r="C10" s="21"/>
      <c r="D10" s="21"/>
      <c r="H10" s="3"/>
    </row>
    <row r="11" s="1" customFormat="1" ht="12.75">
      <c r="B11" s="22"/>
      <c r="C11" s="22"/>
      <c r="D11" s="23"/>
      <c r="E11" s="24"/>
      <c r="F11" s="24"/>
      <c r="G11" s="24"/>
    </row>
    <row r="12" ht="20.1" customHeight="1">
      <c r="A12" s="25"/>
      <c r="B12" s="25"/>
      <c r="C12" s="25"/>
      <c r="D12" s="21">
        <f ca="1">Exercice()</f>
        <v>2019</v>
      </c>
      <c r="E12" s="21"/>
      <c r="F12" s="21"/>
      <c r="G12" s="26">
        <f ca="1">Exercice()-1</f>
        <v>2018</v>
      </c>
    </row>
    <row r="13">
      <c r="A13" s="27" t="s">
        <v>7</v>
      </c>
      <c r="B13" s="27"/>
      <c r="C13" s="27"/>
      <c r="D13" s="28" t="s">
        <v>8</v>
      </c>
      <c r="E13" s="29" t="s">
        <v>9</v>
      </c>
      <c r="F13" s="30"/>
      <c r="G13" s="30"/>
    </row>
    <row r="14">
      <c r="A14" s="27"/>
      <c r="B14" s="27"/>
      <c r="C14" s="27"/>
      <c r="D14" s="28"/>
      <c r="E14" s="29" t="s">
        <v>10</v>
      </c>
      <c r="F14" s="28" t="s">
        <v>11</v>
      </c>
      <c r="G14" s="28" t="s">
        <v>11</v>
      </c>
      <c r="H14" s="3" t="str">
        <f ca="1">ClientAR()</f>
        <v>يبلسيبليبلسيبل</v>
      </c>
    </row>
    <row r="15" ht="11.25" customHeight="1">
      <c r="A15" s="31"/>
      <c r="B15" s="31"/>
      <c r="C15" s="31"/>
      <c r="D15" s="32" t="s">
        <v>12</v>
      </c>
      <c r="E15" s="33" t="s">
        <v>13</v>
      </c>
      <c r="F15" s="32"/>
      <c r="G15" s="32"/>
    </row>
    <row r="16" ht="20.25" customHeight="1">
      <c r="A16" s="34" t="s">
        <v>14</v>
      </c>
      <c r="B16" s="34"/>
      <c r="C16" s="34"/>
      <c r="D16" s="35"/>
      <c r="E16" s="35"/>
      <c r="F16" s="36"/>
      <c r="G16" s="36"/>
    </row>
    <row r="17" ht="20.1" customHeight="1">
      <c r="A17" s="37" t="s">
        <v>15</v>
      </c>
      <c r="B17" s="37"/>
      <c r="C17" s="37"/>
      <c r="D17" s="38">
        <f ca="1">SF(207)</f>
        <v>0</v>
      </c>
      <c r="E17" s="39">
        <f ca="1">SF(2807)+SF(2907)</f>
        <v>0</v>
      </c>
      <c r="F17" s="39">
        <f ca="1">SUM(D17)-(E17)</f>
        <v>0</v>
      </c>
      <c r="G17" s="39">
        <f ca="1">SPF(207)-SPF(2807)-SPF(2907)</f>
        <v>0</v>
      </c>
    </row>
    <row r="18" ht="20.1" customHeight="1">
      <c r="A18" s="37" t="s">
        <v>16</v>
      </c>
      <c r="B18" s="37"/>
      <c r="C18" s="37"/>
      <c r="D18" s="38">
        <f ca="1">SF(20)-SF(207)</f>
        <v>0</v>
      </c>
      <c r="E18" s="39">
        <f ca="1">SF(280)-SF(2807)+SF(290)-SF(2907)</f>
        <v>0</v>
      </c>
      <c r="F18" s="39">
        <f ca="1">D18-E18</f>
        <v>0</v>
      </c>
      <c r="G18" s="39">
        <f ca="1">SPF(20)-SPF(207)-(SPF(280)+SPF(290)-SPF(2807)-SPF(2907))</f>
        <v>0</v>
      </c>
    </row>
    <row r="19" ht="20.1" customHeight="1">
      <c r="A19" s="37" t="s">
        <v>17</v>
      </c>
      <c r="B19" s="37"/>
      <c r="C19" s="37"/>
      <c r="D19" s="38"/>
      <c r="E19" s="39" t="s">
        <v>18</v>
      </c>
      <c r="F19" s="39" t="s">
        <v>18</v>
      </c>
      <c r="G19" s="39" t="s">
        <v>18</v>
      </c>
      <c r="I19" s="40"/>
    </row>
    <row r="20" ht="20.1" customHeight="1">
      <c r="A20" s="41" t="s">
        <v>19</v>
      </c>
      <c r="B20" s="41"/>
      <c r="C20" s="41"/>
      <c r="D20" s="38">
        <f ca="1">SF(211)</f>
        <v>0</v>
      </c>
      <c r="E20" s="39"/>
      <c r="F20" s="39">
        <f ca="1">D20-E20</f>
        <v>0</v>
      </c>
      <c r="G20" s="39">
        <f ca="1">SPF(211)</f>
        <v>0</v>
      </c>
      <c r="I20" s="42"/>
    </row>
    <row r="21" ht="20.1" customHeight="1">
      <c r="A21" s="41" t="s">
        <v>20</v>
      </c>
      <c r="B21" s="41"/>
      <c r="C21" s="41"/>
      <c r="D21" s="38">
        <f ca="1">SF(213)</f>
        <v>0</v>
      </c>
      <c r="E21" s="39">
        <f ca="1">SF(2813)</f>
        <v>0</v>
      </c>
      <c r="F21" s="39">
        <f ca="1">D21-E21</f>
        <v>0</v>
      </c>
      <c r="G21" s="39">
        <f ca="1">SPF(213)-SPF(2813)</f>
        <v>0</v>
      </c>
    </row>
    <row r="22" ht="20.1" customHeight="1">
      <c r="A22" s="41" t="s">
        <v>21</v>
      </c>
      <c r="B22" s="41"/>
      <c r="C22" s="41"/>
      <c r="D22" s="43">
        <f ca="1">SF(218)+SF(212)+SF(215)</f>
        <v>70285708</v>
      </c>
      <c r="E22" s="44">
        <f ca="1">SF(28)-SF(2813)</f>
        <v>34354553</v>
      </c>
      <c r="F22" s="44">
        <f ca="1">D22-E22</f>
        <v>35931155</v>
      </c>
      <c r="G22" s="44">
        <f ca="1">SPF(21)-SPF(213)-SPF(28)+SPF(2813)-SPF(211)</f>
        <v>30315843</v>
      </c>
    </row>
    <row r="23" ht="20.1" customHeight="1">
      <c r="A23" s="41" t="s">
        <v>22</v>
      </c>
      <c r="B23" s="41"/>
      <c r="C23" s="41"/>
      <c r="D23" s="38">
        <f ca="1">SF(22)</f>
        <v>0</v>
      </c>
      <c r="E23" s="39">
        <f ca="1">SF(292)</f>
        <v>0</v>
      </c>
      <c r="F23" s="39">
        <f ca="1">SUM(D23)-(E23)</f>
        <v>0</v>
      </c>
      <c r="G23" s="39">
        <f ca="1">SPF(22)-SPF(292)</f>
        <v>0</v>
      </c>
      <c r="I23" s="45"/>
    </row>
    <row r="24" ht="20.1" customHeight="1">
      <c r="A24" s="37" t="s">
        <v>23</v>
      </c>
      <c r="B24" s="37"/>
      <c r="C24" s="37"/>
      <c r="D24" s="38">
        <f ca="1">SF(23)</f>
        <v>0</v>
      </c>
      <c r="E24" s="39">
        <f ca="1">SF(293)</f>
        <v>0</v>
      </c>
      <c r="F24" s="38">
        <f ca="1">SUM(D24-E24)</f>
        <v>0</v>
      </c>
      <c r="G24" s="39">
        <f ca="1">SPF(23)-SPF(293)</f>
        <v>0</v>
      </c>
    </row>
    <row r="25" ht="20.1" customHeight="1">
      <c r="A25" s="37" t="s">
        <v>24</v>
      </c>
      <c r="B25" s="37"/>
      <c r="C25" s="37"/>
      <c r="D25" s="38" t="s">
        <v>18</v>
      </c>
      <c r="E25" s="39" t="s">
        <v>18</v>
      </c>
      <c r="F25" s="39" t="s">
        <v>18</v>
      </c>
      <c r="G25" s="39" t="s">
        <v>18</v>
      </c>
    </row>
    <row r="26" ht="20.1" customHeight="1">
      <c r="A26" s="41" t="s">
        <v>25</v>
      </c>
      <c r="B26" s="41"/>
      <c r="C26" s="41"/>
      <c r="D26" s="38">
        <f ca="1">SF(265)</f>
        <v>0</v>
      </c>
      <c r="E26" s="39">
        <v>0</v>
      </c>
      <c r="F26" s="39">
        <f ca="1">SUM(D26)</f>
        <v>0</v>
      </c>
      <c r="G26" s="39">
        <f ca="1">SPF(265)</f>
        <v>0</v>
      </c>
    </row>
    <row r="27" ht="20.1" customHeight="1">
      <c r="A27" s="41" t="s">
        <v>26</v>
      </c>
      <c r="B27" s="41"/>
      <c r="C27" s="41"/>
      <c r="D27" s="38">
        <f ca="1">SF(26)-SF(265)-SF(269)</f>
        <v>0</v>
      </c>
      <c r="E27" s="39">
        <v>0</v>
      </c>
      <c r="F27" s="39">
        <f ca="1">SUM(D27)</f>
        <v>0</v>
      </c>
      <c r="G27" s="39">
        <f ca="1">SPF(26)+SPF(265)-SPF(269)</f>
        <v>0</v>
      </c>
    </row>
    <row r="28" ht="20.1" customHeight="1">
      <c r="A28" s="41" t="s">
        <v>27</v>
      </c>
      <c r="B28" s="41"/>
      <c r="C28" s="41"/>
      <c r="D28" s="38">
        <f ca="1">SF(271)+SF(272)+SF(273)</f>
        <v>0</v>
      </c>
      <c r="E28" s="39">
        <v>0</v>
      </c>
      <c r="F28" s="39">
        <f ca="1">SUM(D28)</f>
        <v>0</v>
      </c>
      <c r="G28" s="39">
        <f ca="1">SPF(271)-SPF(272)+SPF(273)</f>
        <v>0</v>
      </c>
    </row>
    <row r="29" ht="20.1" customHeight="1">
      <c r="A29" s="41" t="s">
        <v>28</v>
      </c>
      <c r="B29" s="41"/>
      <c r="C29" s="41"/>
      <c r="D29" s="38">
        <f ca="1">SF(274)+SF(275)+SF(276)</f>
        <v>0</v>
      </c>
      <c r="E29" s="39">
        <f ca="1">S(297)</f>
        <v>0</v>
      </c>
      <c r="F29" s="39">
        <f ca="1">SUM(D29)</f>
        <v>0</v>
      </c>
      <c r="G29" s="39">
        <f ca="1">SPF(274)+SPF(275)+SPF(276)</f>
        <v>0</v>
      </c>
    </row>
    <row r="30" ht="20.1" customHeight="1">
      <c r="A30" s="41" t="s">
        <v>29</v>
      </c>
      <c r="B30" s="41"/>
      <c r="C30" s="41"/>
      <c r="D30" s="38">
        <f ca="1">SF(133)</f>
        <v>0</v>
      </c>
      <c r="E30" s="39">
        <v>0</v>
      </c>
      <c r="F30" s="39">
        <f ca="1">SUM(D30)</f>
        <v>0</v>
      </c>
      <c r="G30" s="39">
        <f ca="1">SPF(133)</f>
        <v>0</v>
      </c>
    </row>
    <row r="31" ht="20.1" customHeight="1">
      <c r="A31" s="46" t="s">
        <v>30</v>
      </c>
      <c r="B31" s="46"/>
      <c r="C31" s="46"/>
      <c r="D31" s="47">
        <f ca="1">SUM(D17:D30)</f>
        <v>70285708</v>
      </c>
      <c r="E31" s="48">
        <f ca="1">SUM(E17:E30)</f>
        <v>34354553</v>
      </c>
      <c r="F31" s="48">
        <f ca="1">SUM(F17:F30)</f>
        <v>35931155</v>
      </c>
      <c r="G31" s="48">
        <f ca="1">SUM(G17:G30)</f>
        <v>30315843</v>
      </c>
      <c r="I31" s="49"/>
    </row>
    <row r="32" ht="18" customHeight="1">
      <c r="A32" s="37" t="s">
        <v>31</v>
      </c>
      <c r="B32" s="37"/>
      <c r="C32" s="37"/>
      <c r="D32" s="38"/>
      <c r="E32" s="39"/>
      <c r="F32" s="39"/>
      <c r="G32" s="39"/>
      <c r="H32" s="50"/>
      <c r="I32" s="51"/>
    </row>
    <row r="33" ht="20.1" customHeight="1">
      <c r="A33" s="37" t="s">
        <v>32</v>
      </c>
      <c r="B33" s="37"/>
      <c r="C33" s="37"/>
      <c r="D33" s="38">
        <f ca="1">SF(30)+SF(31)+SF(32)+SF(33)+SF(34)+SF(35)+SF(36)+SF(37)+SF(38)</f>
        <v>34110000</v>
      </c>
      <c r="E33" s="39">
        <f ca="1">SF(39)</f>
        <v>0</v>
      </c>
      <c r="F33" s="39">
        <f ca="1">SUM(D33-E33)</f>
        <v>34110000</v>
      </c>
      <c r="G33" s="39">
        <f ca="1">SPF(30)+SPF(31)+SPF(32)+SPF(33)+SPF(34)+SPF(35)+SP(36)+SPF(37)+SPF(38)-SPF(39)</f>
        <v>31392000</v>
      </c>
    </row>
    <row r="34" ht="20.1" customHeight="1">
      <c r="A34" s="37" t="s">
        <v>33</v>
      </c>
      <c r="B34" s="37"/>
      <c r="C34" s="37"/>
      <c r="D34" s="38"/>
      <c r="E34" s="39"/>
      <c r="F34" s="39">
        <f>D34-E34</f>
        <v>0</v>
      </c>
      <c r="G34" s="39">
        <v>0</v>
      </c>
    </row>
    <row r="35" ht="20.1" customHeight="1">
      <c r="A35" s="41" t="s">
        <v>34</v>
      </c>
      <c r="B35" s="41"/>
      <c r="C35" s="41"/>
      <c r="D35" s="38">
        <f ca="1">SF(411)</f>
        <v>34859215</v>
      </c>
      <c r="E35" s="39">
        <f ca="1">SF(491)</f>
        <v>0</v>
      </c>
      <c r="F35" s="39">
        <f ca="1">D35-E35</f>
        <v>34859215</v>
      </c>
      <c r="G35" s="39">
        <f ca="1">SPF(411)</f>
        <v>15770571</v>
      </c>
      <c r="I35" s="52"/>
    </row>
    <row r="36" ht="20.1" customHeight="1">
      <c r="A36" s="41" t="s">
        <v>35</v>
      </c>
      <c r="B36" s="41"/>
      <c r="C36" s="41"/>
      <c r="D36" s="38">
        <f ca="1">SF(409)+SDF(42)+SDF(43)+(SDF(44)-SDF(444)-SDF(445)-SDF(446)-SDF(447)-SDF(448))+SDF(45)+SDF(46)+SDF(47)+SDF(486)</f>
        <v>2097215</v>
      </c>
      <c r="E36" s="39">
        <f ca="1">SF(495)+SF(496)</f>
        <v>0</v>
      </c>
      <c r="F36" s="39">
        <f ca="1">D36-E36</f>
        <v>2097215</v>
      </c>
      <c r="G36" s="39">
        <f ca="1">SDP(467)+SDP(409)+SDP(47)</f>
        <v>1203222</v>
      </c>
      <c r="I36" s="53"/>
    </row>
    <row r="37" ht="20.1" customHeight="1">
      <c r="A37" s="41" t="s">
        <v>36</v>
      </c>
      <c r="B37" s="41"/>
      <c r="C37" s="41"/>
      <c r="D37" s="38">
        <f ca="1">SDF(444)+SDF(445)+SDF(447)</f>
        <v>976337</v>
      </c>
      <c r="E37" s="39"/>
      <c r="F37" s="39">
        <f ca="1">D37-E37</f>
        <v>976337</v>
      </c>
      <c r="G37" s="39">
        <f ca="1">SDP(444)+SDP(445)+SDP(447)</f>
        <v>55653.849999999999</v>
      </c>
    </row>
    <row r="38" ht="20.1" customHeight="1">
      <c r="A38" s="41" t="s">
        <v>37</v>
      </c>
      <c r="B38" s="41"/>
      <c r="C38" s="41"/>
      <c r="D38" s="38">
        <f ca="1">SDF(48)-SDF(486)-SDF(489)</f>
        <v>0</v>
      </c>
      <c r="E38" s="39"/>
      <c r="F38" s="39">
        <f ca="1">SUM(D38)</f>
        <v>0</v>
      </c>
      <c r="G38" s="39">
        <f ca="1">SDP(48)-SDP(486)-SDP(489)</f>
        <v>0</v>
      </c>
    </row>
    <row r="39" ht="20.1" customHeight="1">
      <c r="A39" s="37" t="s">
        <v>38</v>
      </c>
      <c r="B39" s="37"/>
      <c r="C39" s="37"/>
      <c r="D39" s="38"/>
      <c r="E39" s="39"/>
      <c r="F39" s="39">
        <f>D39-E39</f>
        <v>0</v>
      </c>
      <c r="G39" s="39">
        <v>0</v>
      </c>
    </row>
    <row r="40" ht="20.1" customHeight="1">
      <c r="A40" s="41" t="s">
        <v>39</v>
      </c>
      <c r="B40" s="41"/>
      <c r="C40" s="41"/>
      <c r="D40" s="38">
        <f ca="1">SF(50)-SF(509)</f>
        <v>0</v>
      </c>
      <c r="E40" s="39"/>
      <c r="F40" s="39">
        <f ca="1">SUM(D40)</f>
        <v>0</v>
      </c>
      <c r="G40" s="39">
        <f ca="1">SP(50)-SP(509)</f>
        <v>0</v>
      </c>
    </row>
    <row r="41" ht="20.1" customHeight="1">
      <c r="A41" s="41" t="s">
        <v>40</v>
      </c>
      <c r="B41" s="41"/>
      <c r="C41" s="41"/>
      <c r="D41" s="38">
        <f ca="1">SDF(519)+SDF(51)+SDF(52)+SDF(53)+SDF(54)</f>
        <v>1456003</v>
      </c>
      <c r="E41" s="39">
        <f ca="1">SF(59)</f>
        <v>0</v>
      </c>
      <c r="F41" s="39">
        <f ca="1">D41-E41</f>
        <v>1456003</v>
      </c>
      <c r="G41" s="39">
        <f ca="1">SDPF(519)+SDPF(51)+SDPF(52)+SDPF(53)+SDPF(54)</f>
        <v>11200736</v>
      </c>
    </row>
    <row r="42" ht="20.1" customHeight="1">
      <c r="A42" s="46" t="s">
        <v>41</v>
      </c>
      <c r="B42" s="46"/>
      <c r="C42" s="46"/>
      <c r="D42" s="47">
        <f ca="1">SUM(D32:D41)</f>
        <v>73498770</v>
      </c>
      <c r="E42" s="48">
        <f ca="1">SUM(E32:E41)</f>
        <v>0</v>
      </c>
      <c r="F42" s="48">
        <f ca="1">SUM(F32:F41)</f>
        <v>73498770</v>
      </c>
      <c r="G42" s="48">
        <f ca="1">SUM(G33:G41)</f>
        <v>59622182.850000001</v>
      </c>
    </row>
    <row r="43" ht="14.25" customHeight="1">
      <c r="A43" s="46" t="s">
        <v>42</v>
      </c>
      <c r="B43" s="46"/>
      <c r="C43" s="46"/>
      <c r="D43" s="47">
        <f ca="1">D42+D31</f>
        <v>143784478</v>
      </c>
      <c r="E43" s="48">
        <f ca="1">E42+E31</f>
        <v>34354553</v>
      </c>
      <c r="F43" s="48">
        <f ca="1">IF(ABS(totalactif-totalpassif)&lt;5,totalpassif,totalactif)</f>
        <v>109429925</v>
      </c>
      <c r="G43" s="48">
        <f ca="1">IF(ABS(totalactifprec-totalpassifprec)&lt;5,totalpassifprec,totalactifprec)</f>
        <v>89938025.849999994</v>
      </c>
    </row>
    <row r="44" hidden="1" ht="20.1" customHeight="1">
      <c r="F44" s="54">
        <f ca="1">F42+F31</f>
        <v>109429925</v>
      </c>
      <c r="G44" s="55">
        <f ca="1">G31+G42</f>
        <v>89938025.849999994</v>
      </c>
    </row>
  </sheetData>
  <mergeCells count="40">
    <mergeCell ref="D1:E1"/>
    <mergeCell ref="B4:F4"/>
    <mergeCell ref="B5:F5"/>
    <mergeCell ref="B6:F6"/>
    <mergeCell ref="B8:D8"/>
    <mergeCell ref="E8:G8"/>
    <mergeCell ref="B10:D10"/>
    <mergeCell ref="A12:C12"/>
    <mergeCell ref="D12:F12"/>
    <mergeCell ref="A13:C14"/>
    <mergeCell ref="D13:D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</mergeCells>
  <pageMargins left="0.7" right="0.7" top="0.75" bottom="0.75" header="0.5118055" footer="0.5118055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B5" sqref="B5:E5"/>
    </sheetView>
  </sheetViews>
  <sheetFormatPr defaultColWidth="11.42188" defaultRowHeight="15"/>
  <cols>
    <col min="1" max="1" width="32.85156" style="3" customWidth="1"/>
    <col min="2" max="2" width="3.710938" style="3" customWidth="1"/>
    <col min="3" max="3" width="6.574219" style="3" customWidth="1"/>
    <col min="4" max="4" width="15.85156" style="2" customWidth="1"/>
    <col min="5" max="5" width="16.57422" style="2" customWidth="1"/>
    <col min="6" max="6" width="12.71094" style="2" customWidth="1"/>
    <col min="7" max="7" width="13.00391" style="2" customWidth="1"/>
    <col min="8" max="257" width="11.42188" style="3"/>
  </cols>
  <sheetData>
    <row r="1" ht="12.75">
      <c r="A1" s="4" t="s">
        <v>0</v>
      </c>
      <c r="B1" s="5"/>
      <c r="C1" s="6" t="s">
        <v>1</v>
      </c>
      <c r="D1" s="7" t="str">
        <f ca="1">NIF()</f>
        <v>195847070002536</v>
      </c>
      <c r="E1" s="7"/>
    </row>
    <row r="3" ht="15">
      <c r="A3" s="56" t="s">
        <v>2</v>
      </c>
      <c r="B3" s="57" t="str">
        <f ca="1">Client()</f>
        <v>BAROUD DJELLOUL E.T.E.H.B.</v>
      </c>
      <c r="C3" s="57"/>
      <c r="D3" s="57"/>
      <c r="E3" s="57"/>
    </row>
    <row r="4" ht="15">
      <c r="A4" s="58" t="s">
        <v>3</v>
      </c>
      <c r="B4" s="59" t="str">
        <f ca="1">ACT()</f>
        <v>BP 377; BENI-ISGUEN.BOUNOURA.</v>
      </c>
      <c r="C4" s="59"/>
      <c r="D4" s="59"/>
      <c r="E4" s="59"/>
    </row>
    <row r="5" ht="15">
      <c r="A5" s="60" t="s">
        <v>4</v>
      </c>
      <c r="B5" s="61" t="str">
        <f ca="1">ADRS()</f>
        <v/>
      </c>
      <c r="C5" s="61"/>
      <c r="D5" s="61"/>
      <c r="E5" s="61"/>
    </row>
    <row r="6" ht="15">
      <c r="A6" s="17"/>
      <c r="B6" s="18"/>
      <c r="C6" s="18"/>
      <c r="D6" s="18"/>
      <c r="E6" s="5"/>
    </row>
    <row r="7" ht="14.25" customHeight="1">
      <c r="B7" s="62" t="s">
        <v>43</v>
      </c>
      <c r="C7" s="62"/>
      <c r="D7" s="62"/>
      <c r="E7" s="63">
        <f ca="1">Exercice()</f>
        <v>2019</v>
      </c>
    </row>
    <row r="9" ht="12.75">
      <c r="B9" s="21" t="s">
        <v>44</v>
      </c>
      <c r="C9" s="21"/>
      <c r="D9" s="21"/>
    </row>
    <row r="11" ht="12.75">
      <c r="A11" s="64" t="s">
        <v>45</v>
      </c>
      <c r="B11" s="64"/>
      <c r="C11" s="64"/>
      <c r="D11" s="65">
        <f ca="1">Exercice()</f>
        <v>2019</v>
      </c>
      <c r="E11" s="65">
        <f ca="1">Exercice()-1</f>
        <v>2018</v>
      </c>
    </row>
    <row r="12" ht="12.75">
      <c r="A12" s="31"/>
      <c r="B12" s="31"/>
      <c r="C12" s="31"/>
      <c r="D12" s="32"/>
      <c r="E12" s="32"/>
    </row>
    <row r="13" ht="12.75">
      <c r="A13" s="34" t="s">
        <v>46</v>
      </c>
      <c r="B13" s="34"/>
      <c r="C13" s="34"/>
      <c r="D13" s="66"/>
      <c r="E13" s="66"/>
    </row>
    <row r="14" ht="20.1" customHeight="1">
      <c r="A14" s="41" t="s">
        <v>47</v>
      </c>
      <c r="B14" s="41"/>
      <c r="C14" s="41"/>
      <c r="D14" s="38">
        <f ca="1">-(S(101)+S(108))</f>
        <v>-98648549.189999998</v>
      </c>
      <c r="E14" s="39">
        <f ca="1">SCP(1)</f>
        <v>91447897.530000001</v>
      </c>
    </row>
    <row r="15" ht="20.1" customHeight="1">
      <c r="A15" s="41" t="s">
        <v>48</v>
      </c>
      <c r="B15" s="41"/>
      <c r="C15" s="41"/>
      <c r="D15" s="39">
        <f ca="1">SF(109)</f>
        <v>0</v>
      </c>
      <c r="E15" s="39">
        <f ca="1">SPF(109)</f>
        <v>0</v>
      </c>
    </row>
    <row r="16" ht="20.1" customHeight="1">
      <c r="A16" s="41" t="s">
        <v>49</v>
      </c>
      <c r="B16" s="41"/>
      <c r="C16" s="41"/>
      <c r="D16" s="39">
        <f ca="1">SF(104)+SF(106)</f>
        <v>0</v>
      </c>
      <c r="E16" s="39">
        <f ca="1">SPF(104)+SPF(106)</f>
        <v>0</v>
      </c>
    </row>
    <row r="17" ht="20.1" customHeight="1">
      <c r="A17" s="41" t="s">
        <v>50</v>
      </c>
      <c r="B17" s="41"/>
      <c r="C17" s="41"/>
      <c r="D17" s="39">
        <f ca="1">SF(105)</f>
        <v>0</v>
      </c>
      <c r="E17" s="39">
        <f ca="1">SPF(105)</f>
        <v>0</v>
      </c>
    </row>
    <row r="18" ht="20.1" customHeight="1">
      <c r="A18" s="41" t="s">
        <v>51</v>
      </c>
      <c r="B18" s="41"/>
      <c r="C18" s="41"/>
      <c r="D18" s="39">
        <f ca="1">SF(107)</f>
        <v>0</v>
      </c>
      <c r="E18" s="39">
        <f ca="1">SPF(107)</f>
        <v>0</v>
      </c>
    </row>
    <row r="19" ht="20.1" customHeight="1">
      <c r="A19" s="41" t="s">
        <v>52</v>
      </c>
      <c r="B19" s="41"/>
      <c r="C19" s="41"/>
      <c r="D19" s="38">
        <f ca="1">SF(7)-SF(6)</f>
        <v>4106546</v>
      </c>
      <c r="E19" s="38">
        <f ca="1">SPF(7)-SPF(6)</f>
        <v>2101608</v>
      </c>
    </row>
    <row r="20" ht="20.1" customHeight="1">
      <c r="A20" s="41" t="s">
        <v>53</v>
      </c>
      <c r="B20" s="41"/>
      <c r="C20" s="41"/>
      <c r="D20" s="38">
        <f ca="1">-SF(11)</f>
        <v>0</v>
      </c>
      <c r="E20" s="38">
        <f ca="1">-SPF(11)</f>
        <v>0</v>
      </c>
      <c r="H20" s="67"/>
    </row>
    <row r="21" ht="20.1" customHeight="1">
      <c r="A21" s="68" t="s">
        <v>54</v>
      </c>
      <c r="B21" s="68"/>
      <c r="C21" s="68"/>
      <c r="D21" s="39"/>
      <c r="E21" s="39"/>
    </row>
    <row r="22" ht="20.1" customHeight="1">
      <c r="A22" s="68" t="s">
        <v>55</v>
      </c>
      <c r="B22" s="68"/>
      <c r="C22" s="68"/>
      <c r="D22" s="39"/>
      <c r="E22" s="39"/>
    </row>
    <row r="23" ht="20.1" customHeight="1">
      <c r="A23" s="46" t="s">
        <v>56</v>
      </c>
      <c r="B23" s="46"/>
      <c r="C23" s="46"/>
      <c r="D23" s="47">
        <f ca="1">SUM(D13:D22)</f>
        <v>-94542003.189999998</v>
      </c>
      <c r="E23" s="47">
        <f ca="1">+E14+E16+E19+E20</f>
        <v>93549505.530000001</v>
      </c>
    </row>
    <row r="24" ht="20.1" customHeight="1">
      <c r="A24" s="34" t="s">
        <v>57</v>
      </c>
      <c r="B24" s="34"/>
      <c r="C24" s="34"/>
      <c r="D24" s="69"/>
      <c r="E24" s="69"/>
    </row>
    <row r="25" ht="20.1" customHeight="1">
      <c r="A25" s="41" t="s">
        <v>58</v>
      </c>
      <c r="B25" s="41"/>
      <c r="C25" s="41"/>
      <c r="D25" s="39">
        <f ca="1">SF(16)+SF(17)</f>
        <v>0</v>
      </c>
      <c r="E25" s="39">
        <f ca="1">SPF(16)+SPF(17)</f>
        <v>0</v>
      </c>
    </row>
    <row r="26" ht="20.1" customHeight="1">
      <c r="A26" s="41" t="s">
        <v>59</v>
      </c>
      <c r="B26" s="41"/>
      <c r="C26" s="41"/>
      <c r="D26" s="39">
        <f ca="1">SF(134)+SF(155)</f>
        <v>0</v>
      </c>
      <c r="E26" s="39">
        <f ca="1">SPF(134)+SPF(155)</f>
        <v>0</v>
      </c>
    </row>
    <row r="27" ht="20.1" customHeight="1">
      <c r="A27" s="41" t="s">
        <v>60</v>
      </c>
      <c r="B27" s="41"/>
      <c r="C27" s="41"/>
      <c r="D27" s="39">
        <f ca="1">SF(229)</f>
        <v>0</v>
      </c>
      <c r="E27" s="39">
        <f ca="1">SPF(229)</f>
        <v>0</v>
      </c>
    </row>
    <row r="28" ht="20.1" customHeight="1">
      <c r="A28" s="41" t="s">
        <v>61</v>
      </c>
      <c r="B28" s="41"/>
      <c r="C28" s="41"/>
      <c r="D28" s="39">
        <f ca="1">SF(15)-SF(155)+SF(131)+SF(132)</f>
        <v>0</v>
      </c>
      <c r="E28" s="39">
        <f ca="1">SPF(15)-SPF(155)+SPF(131)+SPF(132)</f>
        <v>0</v>
      </c>
    </row>
    <row r="29" ht="20.1" customHeight="1">
      <c r="A29" s="46" t="s">
        <v>62</v>
      </c>
      <c r="B29" s="46"/>
      <c r="C29" s="46"/>
      <c r="D29" s="48">
        <f ca="1">SUM(D25:D28)</f>
        <v>0</v>
      </c>
      <c r="E29" s="48">
        <f ca="1">+E25+E28</f>
        <v>0</v>
      </c>
    </row>
    <row r="30" ht="20.1" customHeight="1">
      <c r="A30" s="34" t="s">
        <v>63</v>
      </c>
      <c r="B30" s="34"/>
      <c r="C30" s="34"/>
      <c r="D30" s="69"/>
      <c r="E30" s="69"/>
    </row>
    <row r="31" ht="20.1" customHeight="1">
      <c r="A31" s="41" t="s">
        <v>64</v>
      </c>
      <c r="B31" s="41"/>
      <c r="C31" s="41"/>
      <c r="D31" s="39">
        <f ca="1">SCF(40)</f>
        <v>1436800</v>
      </c>
      <c r="E31" s="39">
        <f ca="1">SCP(40)</f>
        <v>4361256.0700000003</v>
      </c>
    </row>
    <row r="32" ht="20.1" customHeight="1">
      <c r="A32" s="41" t="s">
        <v>65</v>
      </c>
      <c r="B32" s="41"/>
      <c r="C32" s="41"/>
      <c r="D32" s="39">
        <f ca="1">SCF(444)+SCF(445)+SCF(447)+SCF(442)</f>
        <v>4930916</v>
      </c>
      <c r="E32" s="39">
        <f ca="1">SCP(442)+SCP(444)+SCP(445)+SCP(447)</f>
        <v>2309653.0800000001</v>
      </c>
    </row>
    <row r="33" ht="20.1" customHeight="1">
      <c r="A33" s="41" t="s">
        <v>66</v>
      </c>
      <c r="B33" s="41"/>
      <c r="C33" s="41"/>
      <c r="D33" s="39">
        <f ca="1">SCF(43)+SCF(45)+SCF(419)+SCF(47)+SCF(42)</f>
        <v>322586</v>
      </c>
      <c r="E33" s="39">
        <f ca="1">SCP(45)+SCP(43)+SCP(419)+SCP(47)</f>
        <v>263268.34999999998</v>
      </c>
    </row>
    <row r="34" ht="20.1" customHeight="1">
      <c r="A34" s="41" t="s">
        <v>67</v>
      </c>
      <c r="B34" s="41"/>
      <c r="C34" s="41"/>
      <c r="D34" s="39">
        <f ca="1">SC(51)+SC(52)+SC(519)</f>
        <v>0</v>
      </c>
      <c r="E34" s="39">
        <f ca="1">SP(519)</f>
        <v>0</v>
      </c>
    </row>
    <row r="35" ht="20.1" customHeight="1">
      <c r="A35" s="46" t="s">
        <v>68</v>
      </c>
      <c r="B35" s="46"/>
      <c r="C35" s="46"/>
      <c r="D35" s="48">
        <f ca="1">SUM(D31:D34)</f>
        <v>6690302</v>
      </c>
      <c r="E35" s="48">
        <f ca="1">SUM(E31:E34)</f>
        <v>6934177.5</v>
      </c>
    </row>
    <row r="36" ht="20.1" customHeight="1">
      <c r="A36" s="46" t="s">
        <v>69</v>
      </c>
      <c r="B36" s="46"/>
      <c r="C36" s="46"/>
      <c r="D36" s="48">
        <f ca="1">D35+D29+D23</f>
        <v>-87851701.189999998</v>
      </c>
      <c r="E36" s="48">
        <f ca="1">+E23+E29+E35</f>
        <v>100483683.03</v>
      </c>
    </row>
    <row r="37" ht="20.1" customHeight="1"/>
    <row r="38" ht="12.75">
      <c r="A38" s="70" t="s">
        <v>70</v>
      </c>
      <c r="B38" s="17"/>
      <c r="C38" s="17"/>
    </row>
  </sheetData>
  <mergeCells count="32">
    <mergeCell ref="D1:E1"/>
    <mergeCell ref="B3:E3"/>
    <mergeCell ref="B4:E4"/>
    <mergeCell ref="B5:E5"/>
    <mergeCell ref="B7:D7"/>
    <mergeCell ref="B9:D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</mergeCells>
  <pageMargins left="0.7" right="0.7" top="0.75" bottom="0.75" header="0.5118055" footer="0.5118055"/>
  <pageSetup paperSize="9"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E5" sqref="E5"/>
    </sheetView>
  </sheetViews>
  <sheetFormatPr defaultColWidth="11.42188" defaultRowHeight="15"/>
  <cols>
    <col min="1" max="1" width="8.003906" style="3" customWidth="1"/>
    <col min="2" max="2" width="3.140625" style="3" customWidth="1"/>
    <col min="3" max="3" width="5.851563" style="3" customWidth="1"/>
    <col min="4" max="4" width="16.71094" style="2" customWidth="1"/>
    <col min="5" max="5" width="5.574219" style="2" customWidth="1"/>
    <col min="6" max="6" width="4.140625" style="2" customWidth="1"/>
    <col min="7" max="7" width="11.28125" style="2" customWidth="1"/>
    <col min="8" max="8" width="11.14063" style="2" customWidth="1"/>
    <col min="9" max="9" width="10.57422" style="3" customWidth="1"/>
    <col min="10" max="10" width="10.85156" style="3" customWidth="1"/>
    <col min="11" max="257" width="11.42188" style="3"/>
  </cols>
  <sheetData>
    <row r="1" s="2" customFormat="1" ht="12.75">
      <c r="A1" s="4" t="s">
        <v>0</v>
      </c>
      <c r="B1" s="4"/>
      <c r="C1" s="4"/>
      <c r="D1" s="4"/>
      <c r="E1" s="4"/>
      <c r="F1" s="17"/>
      <c r="G1" s="6" t="s">
        <v>1</v>
      </c>
      <c r="H1" s="7" t="str">
        <f ca="1">NIF()</f>
        <v>195847070002536</v>
      </c>
      <c r="I1" s="7"/>
      <c r="J1" s="3"/>
      <c r="K1" s="3"/>
      <c r="L1" s="3"/>
      <c r="M1" s="3"/>
    </row>
    <row r="2" s="2" customFormat="1" ht="6" customHeight="1">
      <c r="A2" s="5"/>
      <c r="B2" s="5"/>
      <c r="C2" s="5"/>
      <c r="D2" s="5"/>
      <c r="E2" s="5"/>
      <c r="F2" s="5"/>
      <c r="I2" s="3"/>
      <c r="J2" s="3"/>
      <c r="K2" s="3"/>
      <c r="L2" s="3"/>
      <c r="M2" s="3"/>
    </row>
    <row r="3" s="2" customFormat="1" ht="15">
      <c r="A3" s="56" t="s">
        <v>71</v>
      </c>
      <c r="B3" s="71"/>
      <c r="C3" s="72"/>
      <c r="D3" s="72"/>
      <c r="E3" s="73" t="str">
        <f ca="1">Client()</f>
        <v>BAROUD DJELLOUL E.T.E.H.B.</v>
      </c>
      <c r="F3" s="74"/>
      <c r="G3" s="74"/>
      <c r="H3" s="74"/>
      <c r="I3" s="74"/>
      <c r="J3" s="75"/>
      <c r="K3" s="3"/>
      <c r="L3" s="3"/>
      <c r="M3" s="3"/>
    </row>
    <row r="4" s="2" customFormat="1" ht="15">
      <c r="A4" s="58" t="s">
        <v>72</v>
      </c>
      <c r="B4" s="76"/>
      <c r="C4" s="77"/>
      <c r="D4" s="77"/>
      <c r="E4" s="78" t="str">
        <f ca="1">ACT()</f>
        <v>BP 377; BENI-ISGUEN.BOUNOURA.</v>
      </c>
      <c r="F4" s="79"/>
      <c r="G4" s="79"/>
      <c r="H4" s="79"/>
      <c r="I4" s="17"/>
      <c r="J4" s="80"/>
      <c r="K4" s="3"/>
      <c r="L4" s="3"/>
      <c r="M4" s="3"/>
    </row>
    <row r="5" s="2" customFormat="1" ht="15">
      <c r="A5" s="60" t="s">
        <v>73</v>
      </c>
      <c r="B5" s="81"/>
      <c r="C5" s="82"/>
      <c r="D5" s="82"/>
      <c r="E5" s="83" t="str">
        <f ca="1">ADRS()</f>
        <v/>
      </c>
      <c r="F5" s="84"/>
      <c r="G5" s="84"/>
      <c r="H5" s="84"/>
      <c r="I5" s="85"/>
      <c r="J5" s="86"/>
      <c r="K5" s="3"/>
      <c r="L5" s="3"/>
      <c r="M5" s="3"/>
    </row>
    <row r="6" s="2" customFormat="1" ht="8.1" customHeight="1">
      <c r="A6" s="17"/>
      <c r="D6" s="18"/>
      <c r="E6" s="18"/>
      <c r="F6" s="18"/>
      <c r="I6" s="3"/>
      <c r="J6" s="3"/>
      <c r="K6" s="3"/>
      <c r="L6" s="3"/>
      <c r="M6" s="3"/>
    </row>
    <row r="7" s="2" customFormat="1" ht="15">
      <c r="A7" s="3"/>
      <c r="D7" s="19" t="s">
        <v>74</v>
      </c>
      <c r="E7" s="87">
        <f ca="1">DATE(Exercice(),"01","01")</f>
        <v>43466</v>
      </c>
      <c r="F7" s="87"/>
      <c r="G7" s="20" t="s">
        <v>75</v>
      </c>
      <c r="H7" s="20">
        <f ca="1">DATE(Exercice(),"12","31")</f>
        <v>43830</v>
      </c>
      <c r="J7" s="3"/>
      <c r="K7" s="3"/>
      <c r="L7" s="3"/>
      <c r="M7" s="3"/>
    </row>
    <row r="8" s="2" customFormat="1" ht="12.75">
      <c r="A8" s="3"/>
      <c r="B8" s="3"/>
      <c r="C8" s="3"/>
      <c r="I8" s="3"/>
      <c r="J8" s="3"/>
      <c r="K8" s="3"/>
      <c r="L8" s="3"/>
      <c r="M8" s="3"/>
    </row>
    <row r="9" ht="12.75">
      <c r="B9" s="17"/>
      <c r="C9" s="17"/>
      <c r="F9" s="88" t="s">
        <v>76</v>
      </c>
      <c r="G9" s="88"/>
      <c r="H9" s="88"/>
    </row>
    <row r="11" ht="12.75">
      <c r="A11" s="57"/>
      <c r="B11" s="57"/>
      <c r="C11" s="57"/>
      <c r="D11" s="57"/>
      <c r="E11" s="57"/>
      <c r="F11" s="57"/>
      <c r="G11" s="7">
        <f ca="1">Exercice()</f>
        <v>2019</v>
      </c>
      <c r="H11" s="7"/>
      <c r="I11" s="7">
        <f ca="1">Exercice()-1</f>
        <v>2018</v>
      </c>
      <c r="J11" s="7"/>
    </row>
    <row r="12" ht="12.75">
      <c r="A12" s="89" t="s">
        <v>77</v>
      </c>
      <c r="B12" s="89"/>
      <c r="C12" s="89"/>
      <c r="D12" s="89"/>
      <c r="E12" s="89"/>
      <c r="F12" s="89"/>
      <c r="G12" s="90" t="s">
        <v>78</v>
      </c>
      <c r="H12" s="90" t="s">
        <v>79</v>
      </c>
      <c r="I12" s="90" t="s">
        <v>78</v>
      </c>
      <c r="J12" s="90" t="s">
        <v>79</v>
      </c>
    </row>
    <row r="13" ht="12.75">
      <c r="A13" s="61"/>
      <c r="B13" s="61"/>
      <c r="C13" s="61"/>
      <c r="D13" s="61"/>
      <c r="E13" s="61"/>
      <c r="F13" s="61"/>
      <c r="G13" s="91" t="s">
        <v>80</v>
      </c>
      <c r="H13" s="91" t="s">
        <v>80</v>
      </c>
      <c r="I13" s="91" t="s">
        <v>80</v>
      </c>
      <c r="J13" s="91" t="s">
        <v>80</v>
      </c>
    </row>
    <row r="14" ht="18" customHeight="1">
      <c r="A14" s="41" t="s">
        <v>81</v>
      </c>
      <c r="B14" s="41"/>
      <c r="C14" s="41"/>
      <c r="D14" s="41"/>
      <c r="E14" s="41"/>
      <c r="F14" s="41"/>
      <c r="G14" s="39">
        <v>0</v>
      </c>
      <c r="H14" s="39">
        <f ca="1">SF(700)</f>
        <v>0</v>
      </c>
      <c r="I14" s="39"/>
      <c r="J14" s="39">
        <f ca="1">SPF(700)</f>
        <v>0</v>
      </c>
    </row>
    <row r="15" ht="18" customHeight="1">
      <c r="A15" s="9"/>
      <c r="B15" s="74"/>
      <c r="C15" s="10"/>
      <c r="D15" s="92" t="s">
        <v>82</v>
      </c>
      <c r="E15" s="92"/>
      <c r="F15" s="92"/>
      <c r="G15" s="39">
        <v>0</v>
      </c>
      <c r="H15" s="39">
        <f ca="1">S(701)+S(702)+S(703)</f>
        <v>0</v>
      </c>
      <c r="I15" s="39"/>
      <c r="J15" s="39">
        <f ca="1">SPF(701)+SPF(702)+SPF(703)</f>
        <v>0</v>
      </c>
    </row>
    <row r="16" ht="18" customHeight="1">
      <c r="A16" s="93" t="s">
        <v>83</v>
      </c>
      <c r="B16" s="17"/>
      <c r="C16" s="13"/>
      <c r="D16" s="94" t="s">
        <v>84</v>
      </c>
      <c r="E16" s="94"/>
      <c r="F16" s="94"/>
      <c r="G16" s="39">
        <v>0</v>
      </c>
      <c r="H16" s="39">
        <f ca="1">S(706)+S(705)</f>
        <v>0</v>
      </c>
      <c r="I16" s="39"/>
      <c r="J16" s="39">
        <f ca="1">SPF(706)+SPF(705)</f>
        <v>0</v>
      </c>
    </row>
    <row r="17" ht="18" customHeight="1">
      <c r="A17" s="15"/>
      <c r="B17" s="85"/>
      <c r="C17" s="16"/>
      <c r="D17" s="95" t="s">
        <v>85</v>
      </c>
      <c r="E17" s="95"/>
      <c r="F17" s="95"/>
      <c r="G17" s="39">
        <v>0</v>
      </c>
      <c r="H17" s="96">
        <f ca="1">SF(704)</f>
        <v>63206526</v>
      </c>
      <c r="I17" s="39"/>
      <c r="J17" s="39">
        <f ca="1">SPF(704)</f>
        <v>42012602</v>
      </c>
      <c r="N17" s="2"/>
    </row>
    <row r="18" ht="18" customHeight="1">
      <c r="A18" s="41" t="s">
        <v>86</v>
      </c>
      <c r="B18" s="41"/>
      <c r="C18" s="41"/>
      <c r="D18" s="41"/>
      <c r="E18" s="41"/>
      <c r="F18" s="41"/>
      <c r="G18" s="39">
        <v>0</v>
      </c>
      <c r="H18" s="39">
        <f ca="1">S(708)</f>
        <v>0</v>
      </c>
      <c r="I18" s="39"/>
      <c r="J18" s="39">
        <f ca="1">SPF(708)</f>
        <v>0</v>
      </c>
    </row>
    <row r="19" ht="18" customHeight="1">
      <c r="A19" s="41" t="s">
        <v>87</v>
      </c>
      <c r="B19" s="41"/>
      <c r="C19" s="41"/>
      <c r="D19" s="41"/>
      <c r="E19" s="41"/>
      <c r="F19" s="41"/>
      <c r="G19" s="39">
        <f ca="1">SF(709)</f>
        <v>0</v>
      </c>
      <c r="H19" s="39"/>
      <c r="I19" s="39"/>
      <c r="J19" s="39">
        <f ca="1">SPF(709)</f>
        <v>0</v>
      </c>
    </row>
    <row r="20" ht="18" customHeight="1">
      <c r="A20" s="46" t="s">
        <v>88</v>
      </c>
      <c r="B20" s="46"/>
      <c r="C20" s="46"/>
      <c r="D20" s="46"/>
      <c r="E20" s="46"/>
      <c r="F20" s="46"/>
      <c r="G20" s="48">
        <f ca="1">SUM(G14:G19)</f>
        <v>0</v>
      </c>
      <c r="H20" s="48">
        <f ca="1">SUM(H14:H19)</f>
        <v>63206526</v>
      </c>
      <c r="I20" s="48">
        <f>SUM(I14:I19)</f>
        <v>0</v>
      </c>
      <c r="J20" s="48">
        <f ca="1">SUM(J14:J19)</f>
        <v>42012602</v>
      </c>
    </row>
    <row r="21" ht="18" customHeight="1">
      <c r="A21" s="41" t="s">
        <v>89</v>
      </c>
      <c r="B21" s="41"/>
      <c r="C21" s="41"/>
      <c r="D21" s="41"/>
      <c r="E21" s="41"/>
      <c r="F21" s="41"/>
      <c r="G21" s="97">
        <f ca="1">IF(SS(72)&lt;0,0,SF(72))</f>
        <v>0</v>
      </c>
      <c r="H21" s="39">
        <f ca="1">IF(S(72)&gt;=0,0,SF(72))</f>
        <v>0</v>
      </c>
      <c r="I21" s="39">
        <f ca="1">IF(SSP(72)&lt;0,0,SPF(72))</f>
        <v>0</v>
      </c>
      <c r="J21" s="39">
        <f ca="1">IF(SSP(72)&gt;0,0,SPF(72))</f>
        <v>0</v>
      </c>
    </row>
    <row r="22" ht="18" customHeight="1">
      <c r="A22" s="41" t="s">
        <v>90</v>
      </c>
      <c r="B22" s="41"/>
      <c r="C22" s="41"/>
      <c r="D22" s="41"/>
      <c r="E22" s="41"/>
      <c r="F22" s="41"/>
      <c r="G22" s="39"/>
      <c r="H22" s="39">
        <f ca="1">S(73)</f>
        <v>0</v>
      </c>
      <c r="I22" s="39"/>
      <c r="J22" s="39">
        <f ca="1">SPF(73)</f>
        <v>0</v>
      </c>
    </row>
    <row r="23" ht="18" customHeight="1">
      <c r="A23" s="41" t="s">
        <v>91</v>
      </c>
      <c r="B23" s="41"/>
      <c r="C23" s="41"/>
      <c r="D23" s="41"/>
      <c r="E23" s="41"/>
      <c r="F23" s="41"/>
      <c r="G23" s="39"/>
      <c r="H23" s="39">
        <f ca="1">S(74)</f>
        <v>0</v>
      </c>
      <c r="I23" s="39"/>
      <c r="J23" s="39">
        <f ca="1">SPF(74)</f>
        <v>0</v>
      </c>
    </row>
    <row r="24" ht="18" customHeight="1">
      <c r="A24" s="46" t="s">
        <v>92</v>
      </c>
      <c r="B24" s="46"/>
      <c r="C24" s="46"/>
      <c r="D24" s="46"/>
      <c r="E24" s="46"/>
      <c r="F24" s="46"/>
      <c r="G24" s="48">
        <f ca="1">IF(SUM(G20:G23)&gt;SUM(H20:H23),SUM(G20:G23)-SUM(H20:H23),0)</f>
        <v>0</v>
      </c>
      <c r="H24" s="48">
        <f ca="1">IF(SUM(G20:G23)&lt;=SUM(H20:H23),-SUM(G20:G23)+SUM(H20:H23),0)</f>
        <v>63206526</v>
      </c>
      <c r="I24" s="48">
        <f ca="1">IF(SUM(I20:I23)&gt;SUM(J20:J23),SUM(I20:I23)-SUM(J20:J23),0)</f>
        <v>0</v>
      </c>
      <c r="J24" s="48">
        <f ca="1">IF(SUM(I20:I23)&lt;=SUM(J20:J23),-SUM(I20:I23)+SUM(J20:J23),0)</f>
        <v>42012602</v>
      </c>
    </row>
    <row r="25" ht="18" customHeight="1">
      <c r="A25" s="41" t="s">
        <v>93</v>
      </c>
      <c r="B25" s="41"/>
      <c r="C25" s="41"/>
      <c r="D25" s="41"/>
      <c r="E25" s="41"/>
      <c r="F25" s="41"/>
      <c r="G25" s="39">
        <f ca="1">SF(600)</f>
        <v>0</v>
      </c>
      <c r="H25" s="39">
        <v>0</v>
      </c>
      <c r="I25" s="39">
        <f ca="1">SPF(600)</f>
        <v>0</v>
      </c>
      <c r="J25" s="39">
        <v>0</v>
      </c>
    </row>
    <row r="26" ht="18" customHeight="1">
      <c r="A26" s="41" t="s">
        <v>94</v>
      </c>
      <c r="B26" s="41"/>
      <c r="C26" s="41"/>
      <c r="D26" s="41"/>
      <c r="E26" s="41"/>
      <c r="F26" s="41"/>
      <c r="G26" s="39">
        <f ca="1">S(601)</f>
        <v>0</v>
      </c>
      <c r="H26" s="39">
        <v>0</v>
      </c>
      <c r="I26" s="39">
        <f ca="1">SPF(601)</f>
        <v>0</v>
      </c>
      <c r="J26" s="39">
        <v>0</v>
      </c>
    </row>
    <row r="27" ht="18" customHeight="1">
      <c r="A27" s="41" t="s">
        <v>95</v>
      </c>
      <c r="B27" s="41"/>
      <c r="C27" s="41"/>
      <c r="D27" s="41"/>
      <c r="E27" s="41"/>
      <c r="F27" s="41"/>
      <c r="G27" s="39">
        <f ca="1">S(602)</f>
        <v>47941840.549999997</v>
      </c>
      <c r="H27" s="39">
        <v>0</v>
      </c>
      <c r="I27" s="39">
        <f ca="1">SPF(602)</f>
        <v>31106403</v>
      </c>
      <c r="J27" s="39">
        <v>0</v>
      </c>
    </row>
    <row r="28" ht="18" customHeight="1">
      <c r="A28" s="41" t="s">
        <v>96</v>
      </c>
      <c r="B28" s="41"/>
      <c r="C28" s="41"/>
      <c r="D28" s="41"/>
      <c r="E28" s="41"/>
      <c r="F28" s="41"/>
      <c r="G28" s="39">
        <f ca="1">S(603)</f>
        <v>0</v>
      </c>
      <c r="H28" s="39">
        <v>0</v>
      </c>
      <c r="I28" s="39">
        <f ca="1">SPF(603)</f>
        <v>0</v>
      </c>
      <c r="J28" s="39">
        <v>0</v>
      </c>
    </row>
    <row r="29" ht="18" customHeight="1">
      <c r="A29" s="41" t="s">
        <v>97</v>
      </c>
      <c r="B29" s="41"/>
      <c r="C29" s="41"/>
      <c r="D29" s="41"/>
      <c r="E29" s="41"/>
      <c r="F29" s="41"/>
      <c r="G29" s="39">
        <f ca="1">S(604)</f>
        <v>0</v>
      </c>
      <c r="H29" s="39">
        <v>0</v>
      </c>
      <c r="I29" s="39">
        <f ca="1">SPF(604)</f>
        <v>0</v>
      </c>
      <c r="J29" s="39">
        <v>0</v>
      </c>
    </row>
    <row r="30" ht="18" customHeight="1">
      <c r="A30" s="41" t="s">
        <v>98</v>
      </c>
      <c r="B30" s="41"/>
      <c r="C30" s="41"/>
      <c r="D30" s="41"/>
      <c r="E30" s="41"/>
      <c r="F30" s="41"/>
      <c r="G30" s="39">
        <f ca="1">S(605)+S(607)+S(608)</f>
        <v>0</v>
      </c>
      <c r="H30" s="39">
        <v>0</v>
      </c>
      <c r="I30" s="39">
        <f ca="1">SPF(605)+SPF(607)+SPF(608)</f>
        <v>0</v>
      </c>
      <c r="J30" s="39">
        <v>0</v>
      </c>
    </row>
    <row r="31" ht="18" customHeight="1">
      <c r="A31" s="41" t="s">
        <v>99</v>
      </c>
      <c r="B31" s="41"/>
      <c r="C31" s="41"/>
      <c r="D31" s="41"/>
      <c r="E31" s="41"/>
      <c r="F31" s="41"/>
      <c r="G31" s="39"/>
      <c r="H31" s="39">
        <f ca="1">SF(609)+SF(619)+SF(629)</f>
        <v>0</v>
      </c>
      <c r="I31" s="39">
        <f ca="1">SPF(609)</f>
        <v>0</v>
      </c>
      <c r="J31" s="39">
        <v>0</v>
      </c>
    </row>
    <row r="32" ht="18" customHeight="1">
      <c r="A32" s="57"/>
      <c r="B32" s="98" t="s">
        <v>100</v>
      </c>
      <c r="C32" s="98"/>
      <c r="D32" s="98"/>
      <c r="E32" s="98"/>
      <c r="F32" s="98"/>
      <c r="G32" s="39">
        <f ca="1">S(611)</f>
        <v>0</v>
      </c>
      <c r="H32" s="39">
        <v>0</v>
      </c>
      <c r="I32" s="39">
        <f ca="1">SPF(611)</f>
        <v>0</v>
      </c>
      <c r="J32" s="39">
        <v>0</v>
      </c>
    </row>
    <row r="33" ht="18" customHeight="1">
      <c r="A33" s="99" t="s">
        <v>101</v>
      </c>
      <c r="B33" s="98" t="s">
        <v>102</v>
      </c>
      <c r="C33" s="98"/>
      <c r="D33" s="98"/>
      <c r="E33" s="98"/>
      <c r="F33" s="98"/>
      <c r="G33" s="39">
        <f ca="1">S(613)</f>
        <v>0</v>
      </c>
      <c r="H33" s="39">
        <v>0</v>
      </c>
      <c r="I33" s="39">
        <f ca="1">SPF(613)</f>
        <v>0</v>
      </c>
      <c r="J33" s="39">
        <v>0</v>
      </c>
    </row>
    <row r="34" ht="18" customHeight="1">
      <c r="A34" s="99" t="s">
        <v>103</v>
      </c>
      <c r="B34" s="98" t="s">
        <v>104</v>
      </c>
      <c r="C34" s="98"/>
      <c r="D34" s="98"/>
      <c r="E34" s="98"/>
      <c r="F34" s="98"/>
      <c r="G34" s="39">
        <f ca="1">S(615)</f>
        <v>0</v>
      </c>
      <c r="H34" s="39">
        <v>0</v>
      </c>
      <c r="I34" s="39">
        <f ca="1">SPF(615)</f>
        <v>0</v>
      </c>
      <c r="J34" s="39">
        <v>0</v>
      </c>
    </row>
    <row r="35" ht="18" customHeight="1">
      <c r="A35" s="99"/>
      <c r="B35" s="98" t="s">
        <v>105</v>
      </c>
      <c r="C35" s="98"/>
      <c r="D35" s="98"/>
      <c r="E35" s="98"/>
      <c r="F35" s="98"/>
      <c r="G35" s="39">
        <f ca="1">S(616)</f>
        <v>59091.779999999999</v>
      </c>
      <c r="H35" s="39">
        <v>0</v>
      </c>
      <c r="I35" s="39">
        <f ca="1">SPF(616)</f>
        <v>47345</v>
      </c>
      <c r="J35" s="39">
        <v>0</v>
      </c>
      <c r="M35" s="100"/>
    </row>
    <row r="36" ht="18" customHeight="1">
      <c r="A36" s="99"/>
      <c r="B36" s="98" t="s">
        <v>106</v>
      </c>
      <c r="C36" s="98"/>
      <c r="D36" s="98"/>
      <c r="E36" s="98"/>
      <c r="F36" s="98"/>
      <c r="G36" s="39">
        <f ca="1">S(621)</f>
        <v>0</v>
      </c>
      <c r="H36" s="39">
        <v>0</v>
      </c>
      <c r="I36" s="39">
        <f ca="1">SPF(621)</f>
        <v>0</v>
      </c>
      <c r="J36" s="39">
        <v>0</v>
      </c>
    </row>
    <row r="37" ht="18" customHeight="1">
      <c r="A37" s="99"/>
      <c r="B37" s="98" t="s">
        <v>107</v>
      </c>
      <c r="C37" s="98"/>
      <c r="D37" s="98"/>
      <c r="E37" s="98"/>
      <c r="F37" s="98"/>
      <c r="G37" s="39">
        <f ca="1">SF(622)</f>
        <v>0</v>
      </c>
      <c r="H37" s="39">
        <v>0</v>
      </c>
      <c r="I37" s="39">
        <f ca="1">SPF(622)</f>
        <v>0</v>
      </c>
      <c r="J37" s="39">
        <v>0</v>
      </c>
    </row>
    <row r="38" ht="18" customHeight="1">
      <c r="A38" s="99"/>
      <c r="B38" s="98" t="s">
        <v>108</v>
      </c>
      <c r="C38" s="98"/>
      <c r="D38" s="98"/>
      <c r="E38" s="98"/>
      <c r="F38" s="98"/>
      <c r="G38" s="39">
        <f ca="1">SF(623)</f>
        <v>0</v>
      </c>
      <c r="H38" s="39">
        <v>0</v>
      </c>
      <c r="I38" s="39">
        <f ca="1">SPF(623)</f>
        <v>0</v>
      </c>
      <c r="J38" s="39">
        <v>0</v>
      </c>
    </row>
    <row r="39" ht="18" customHeight="1">
      <c r="A39" s="61"/>
      <c r="B39" s="98" t="s">
        <v>109</v>
      </c>
      <c r="C39" s="98"/>
      <c r="D39" s="98"/>
      <c r="E39" s="98"/>
      <c r="F39" s="98"/>
      <c r="G39" s="39">
        <f ca="1">S(625)</f>
        <v>0</v>
      </c>
      <c r="H39" s="39">
        <v>0</v>
      </c>
      <c r="I39" s="39">
        <f ca="1">SPF(625)</f>
        <v>0</v>
      </c>
      <c r="J39" s="39">
        <v>0</v>
      </c>
    </row>
    <row r="40" ht="18" customHeight="1">
      <c r="A40" s="41" t="s">
        <v>110</v>
      </c>
      <c r="B40" s="41"/>
      <c r="C40" s="41"/>
      <c r="D40" s="41"/>
      <c r="E40" s="41"/>
      <c r="F40" s="41"/>
      <c r="G40" s="39">
        <f ca="1">SF(618)+SF(624)+SF(626)+SF(627)+SF(628)+SF(614)</f>
        <v>156124</v>
      </c>
      <c r="H40" s="39">
        <v>0</v>
      </c>
      <c r="I40" s="39">
        <f ca="1">SPF(627)+SPF(626)+SPF(617)+SPF(618)+SPF(624)+SPF(628)+SPF(614)</f>
        <v>165547</v>
      </c>
      <c r="J40" s="39">
        <v>0</v>
      </c>
    </row>
    <row r="41" ht="18" customHeight="1">
      <c r="A41" s="41" t="s">
        <v>111</v>
      </c>
      <c r="B41" s="41"/>
      <c r="C41" s="41"/>
      <c r="D41" s="41"/>
      <c r="E41" s="41"/>
      <c r="F41" s="41"/>
      <c r="G41" s="39">
        <f ca="1">SF(629)</f>
        <v>0</v>
      </c>
      <c r="H41" s="39">
        <v>0</v>
      </c>
      <c r="I41" s="39">
        <f ca="1">SPF(629)</f>
        <v>0</v>
      </c>
      <c r="J41" s="39">
        <v>0</v>
      </c>
    </row>
    <row r="42" ht="18" customHeight="1">
      <c r="A42" s="46" t="s">
        <v>112</v>
      </c>
      <c r="B42" s="46"/>
      <c r="C42" s="46"/>
      <c r="D42" s="46"/>
      <c r="E42" s="46"/>
      <c r="F42" s="46"/>
      <c r="G42" s="48">
        <f ca="1">SUM(G25:G41)</f>
        <v>48157056.329999998</v>
      </c>
      <c r="H42" s="48">
        <f ca="1">SUM(H25:H41)</f>
        <v>0</v>
      </c>
      <c r="I42" s="48">
        <f ca="1">SUM(I25:I41)</f>
        <v>31319295</v>
      </c>
      <c r="J42" s="48">
        <f>SUM(J25:J41)</f>
        <v>0</v>
      </c>
    </row>
    <row r="43" ht="18" customHeight="1">
      <c r="A43" s="46" t="s">
        <v>113</v>
      </c>
      <c r="B43" s="46"/>
      <c r="C43" s="46"/>
      <c r="D43" s="46"/>
      <c r="E43" s="46"/>
      <c r="F43" s="46"/>
      <c r="G43" s="48">
        <f ca="1">IF((H24+H42-G24-G42)&lt;0,G24+G42-H24-H42,0)</f>
        <v>0</v>
      </c>
      <c r="H43" s="48">
        <f ca="1">IF(H24+H42-G24-G42&gt;=0,-G24-G42+H24+H42,0)</f>
        <v>15049469.670000002</v>
      </c>
      <c r="I43" s="48">
        <f ca="1">IF(J24+J42-I24-I42&lt;0,I24+I42-J24-J42,0)</f>
        <v>0</v>
      </c>
      <c r="J43" s="48">
        <f ca="1">IF(J24+J42-I24-I42&gt;=0,-I24-I42+J24+J42,0)</f>
        <v>10693307</v>
      </c>
    </row>
    <row r="45" ht="12.75">
      <c r="A45" s="37" t="s">
        <v>0</v>
      </c>
      <c r="B45" s="37"/>
      <c r="C45" s="37"/>
      <c r="D45" s="37"/>
      <c r="E45" s="37"/>
      <c r="F45" s="37"/>
      <c r="G45" s="4" t="s">
        <v>1</v>
      </c>
      <c r="H45" s="7" t="str">
        <f ca="1">NIF()</f>
        <v>195847070002536</v>
      </c>
      <c r="I45" s="7"/>
    </row>
    <row r="46" ht="12.75">
      <c r="A46" s="5"/>
      <c r="B46" s="5"/>
      <c r="C46" s="5"/>
      <c r="D46" s="5"/>
      <c r="E46" s="5"/>
      <c r="F46" s="5"/>
    </row>
    <row r="47" ht="15">
      <c r="A47" s="56" t="s">
        <v>114</v>
      </c>
      <c r="B47" s="71"/>
      <c r="C47" s="72"/>
      <c r="D47" s="101"/>
      <c r="E47" s="72"/>
      <c r="F47" s="102" t="str">
        <f ca="1">E3</f>
        <v>BAROUD DJELLOUL E.T.E.H.B.</v>
      </c>
      <c r="G47" s="103"/>
      <c r="H47" s="103"/>
      <c r="I47" s="74"/>
      <c r="J47" s="75"/>
    </row>
    <row r="48" ht="15">
      <c r="A48" s="58" t="s">
        <v>115</v>
      </c>
      <c r="B48" s="76"/>
      <c r="C48" s="77"/>
      <c r="D48" s="104"/>
      <c r="E48" s="77"/>
      <c r="F48" s="78" t="str">
        <f ca="1">E4</f>
        <v>BP 377; BENI-ISGUEN.BOUNOURA.</v>
      </c>
      <c r="G48" s="79"/>
      <c r="H48" s="79"/>
      <c r="I48" s="17"/>
      <c r="J48" s="80"/>
    </row>
    <row r="49" ht="15">
      <c r="A49" s="60" t="s">
        <v>116</v>
      </c>
      <c r="B49" s="81"/>
      <c r="C49" s="82"/>
      <c r="D49" s="105"/>
      <c r="E49" s="82"/>
      <c r="F49" s="83" t="str">
        <f ca="1">E5</f>
        <v/>
      </c>
      <c r="G49" s="84"/>
      <c r="H49" s="84"/>
      <c r="I49" s="85"/>
      <c r="J49" s="86"/>
    </row>
    <row r="50" ht="7.5" customHeight="1"/>
    <row r="51" ht="15">
      <c r="D51" s="19" t="s">
        <v>74</v>
      </c>
      <c r="E51" s="87">
        <f ca="1">DATE(Exercice(),"01","01")</f>
        <v>43466</v>
      </c>
      <c r="F51" s="87"/>
      <c r="G51" s="20" t="s">
        <v>75</v>
      </c>
      <c r="H51" s="20">
        <f ca="1">DATE(Exercice(),"12","31")</f>
        <v>43830</v>
      </c>
    </row>
    <row r="53" ht="12.75">
      <c r="B53" s="17"/>
      <c r="C53" s="17"/>
      <c r="F53" s="88" t="s">
        <v>117</v>
      </c>
      <c r="G53" s="88"/>
      <c r="H53" s="88"/>
    </row>
    <row r="55" ht="12.75">
      <c r="A55" s="57"/>
      <c r="B55" s="57"/>
      <c r="C55" s="57"/>
      <c r="D55" s="57"/>
      <c r="E55" s="57"/>
      <c r="F55" s="57"/>
      <c r="G55" s="7">
        <f ca="1">Exercice()</f>
        <v>2019</v>
      </c>
      <c r="H55" s="7"/>
      <c r="I55" s="7">
        <f ca="1">Exercice()-1</f>
        <v>2018</v>
      </c>
      <c r="J55" s="7"/>
    </row>
    <row r="56" ht="12.75">
      <c r="A56" s="89" t="s">
        <v>77</v>
      </c>
      <c r="B56" s="89"/>
      <c r="C56" s="89"/>
      <c r="D56" s="89"/>
      <c r="E56" s="89"/>
      <c r="F56" s="89"/>
      <c r="G56" s="90" t="s">
        <v>78</v>
      </c>
      <c r="H56" s="90" t="s">
        <v>79</v>
      </c>
      <c r="I56" s="90" t="s">
        <v>78</v>
      </c>
      <c r="J56" s="90" t="s">
        <v>79</v>
      </c>
    </row>
    <row r="57" ht="12.75">
      <c r="A57" s="61"/>
      <c r="B57" s="61"/>
      <c r="C57" s="61"/>
      <c r="D57" s="61"/>
      <c r="E57" s="61"/>
      <c r="F57" s="61"/>
      <c r="G57" s="91" t="s">
        <v>80</v>
      </c>
      <c r="H57" s="91" t="s">
        <v>80</v>
      </c>
      <c r="I57" s="91" t="s">
        <v>80</v>
      </c>
      <c r="J57" s="91" t="s">
        <v>80</v>
      </c>
    </row>
    <row r="58" ht="12.75">
      <c r="A58" s="7"/>
      <c r="B58" s="41" t="s">
        <v>118</v>
      </c>
      <c r="C58" s="41"/>
      <c r="D58" s="41"/>
      <c r="E58" s="41"/>
      <c r="F58" s="41"/>
      <c r="G58" s="39">
        <f ca="1">SF(63)</f>
        <v>3853090</v>
      </c>
      <c r="H58" s="39">
        <v>0</v>
      </c>
      <c r="I58" s="39">
        <f ca="1">SPF(63)</f>
        <v>3525199</v>
      </c>
      <c r="J58" s="39"/>
    </row>
    <row r="59" ht="12.75">
      <c r="A59" s="7"/>
      <c r="B59" s="41" t="s">
        <v>119</v>
      </c>
      <c r="C59" s="41"/>
      <c r="D59" s="41"/>
      <c r="E59" s="41"/>
      <c r="F59" s="41"/>
      <c r="G59" s="39">
        <f ca="1">SF(64)</f>
        <v>703580</v>
      </c>
      <c r="H59" s="39">
        <v>0</v>
      </c>
      <c r="I59" s="39">
        <f ca="1">SPF(64)</f>
        <v>621379</v>
      </c>
      <c r="J59" s="39"/>
    </row>
    <row r="60" ht="12.75">
      <c r="A60" s="46" t="s">
        <v>120</v>
      </c>
      <c r="B60" s="46"/>
      <c r="C60" s="46"/>
      <c r="D60" s="46"/>
      <c r="E60" s="46"/>
      <c r="F60" s="46"/>
      <c r="G60" s="48">
        <f ca="1">IF(SUM(H43,H58:H59)-SUM(G43,G58:G59)&lt;0,SUM(G43,G58:G59)-SUM(H43,H58:H59),0)</f>
        <v>0</v>
      </c>
      <c r="H60" s="48">
        <f ca="1">IF(SUM(H43,H58:H59)-SUM(G43,G58:G59)&gt;=0,-SUM(G43,G58:G59)+SUM(H43,H58:H59),0)</f>
        <v>10492799.670000002</v>
      </c>
      <c r="I60" s="48">
        <f ca="1">IF(SUM(J43,J58:J59)-SUM(I43,I58:I59)&lt;0,SUM(I43,I58:I59)-SUM(J43,J58:J59),0)</f>
        <v>0</v>
      </c>
      <c r="J60" s="48">
        <f ca="1">IF(SUM(J43,J58:J59)-SUM(I43,I58:I59)&gt;=0,-SUM(I43,I58:I59)+SUM(J43,J58:J59),0)</f>
        <v>6546729</v>
      </c>
    </row>
    <row r="61" ht="20.1" customHeight="1">
      <c r="A61" s="41" t="s">
        <v>121</v>
      </c>
      <c r="B61" s="41"/>
      <c r="C61" s="41"/>
      <c r="D61" s="41"/>
      <c r="E61" s="41"/>
      <c r="F61" s="41"/>
      <c r="G61" s="39">
        <v>0</v>
      </c>
      <c r="H61" s="39">
        <f ca="1">SF(75)</f>
        <v>0</v>
      </c>
      <c r="I61" s="39">
        <v>0</v>
      </c>
      <c r="J61" s="39">
        <f ca="1">SPF(75)</f>
        <v>0</v>
      </c>
    </row>
    <row r="62" ht="20.1" customHeight="1">
      <c r="A62" s="41" t="s">
        <v>122</v>
      </c>
      <c r="B62" s="41"/>
      <c r="C62" s="41"/>
      <c r="D62" s="41"/>
      <c r="E62" s="41"/>
      <c r="F62" s="41"/>
      <c r="G62" s="39">
        <f ca="1">SF(65)</f>
        <v>38375</v>
      </c>
      <c r="H62" s="39">
        <v>0</v>
      </c>
      <c r="I62" s="39">
        <f ca="1">SPF(65)</f>
        <v>0</v>
      </c>
      <c r="J62" s="39"/>
    </row>
    <row r="63" ht="20.1" customHeight="1">
      <c r="A63" s="41" t="s">
        <v>123</v>
      </c>
      <c r="B63" s="41"/>
      <c r="C63" s="41"/>
      <c r="D63" s="41"/>
      <c r="E63" s="41"/>
      <c r="F63" s="41"/>
      <c r="G63" s="39">
        <f ca="1">SF(685)</f>
        <v>6347880</v>
      </c>
      <c r="H63" s="39">
        <v>0</v>
      </c>
      <c r="I63" s="39">
        <f ca="1">SPF(685)</f>
        <v>4445121</v>
      </c>
      <c r="J63" s="39"/>
    </row>
    <row r="64" ht="20.1" customHeight="1">
      <c r="A64" s="41" t="s">
        <v>124</v>
      </c>
      <c r="B64" s="41"/>
      <c r="C64" s="41"/>
      <c r="D64" s="41"/>
      <c r="E64" s="41"/>
      <c r="F64" s="41"/>
      <c r="G64" s="39">
        <f ca="1">SF(681)+SF(682)</f>
        <v>0</v>
      </c>
      <c r="H64" s="39">
        <v>0</v>
      </c>
      <c r="I64" s="39">
        <f ca="1">SPF(681)+SPF(682)</f>
        <v>0</v>
      </c>
      <c r="J64" s="39"/>
    </row>
    <row r="65" ht="20.1" customHeight="1">
      <c r="A65" s="41" t="s">
        <v>125</v>
      </c>
      <c r="B65" s="41"/>
      <c r="C65" s="41"/>
      <c r="D65" s="41"/>
      <c r="E65" s="41"/>
      <c r="F65" s="41"/>
      <c r="G65" s="39">
        <f ca="1">SF(686)</f>
        <v>0</v>
      </c>
      <c r="H65" s="39">
        <v>0</v>
      </c>
      <c r="I65" s="39">
        <f ca="1">SPF(686)</f>
        <v>0</v>
      </c>
      <c r="J65" s="39"/>
    </row>
    <row r="66" ht="20.1" customHeight="1">
      <c r="A66" s="41" t="s">
        <v>126</v>
      </c>
      <c r="B66" s="41"/>
      <c r="C66" s="41"/>
      <c r="D66" s="41"/>
      <c r="E66" s="41"/>
      <c r="F66" s="41"/>
      <c r="G66" s="39">
        <v>0</v>
      </c>
      <c r="H66" s="39">
        <f ca="1">SF(78)</f>
        <v>0</v>
      </c>
      <c r="I66" s="39">
        <v>0</v>
      </c>
      <c r="J66" s="39">
        <f ca="1">SPF(78)</f>
        <v>0</v>
      </c>
    </row>
    <row r="67" ht="20.1" customHeight="1">
      <c r="A67" s="46" t="s">
        <v>127</v>
      </c>
      <c r="B67" s="46"/>
      <c r="C67" s="46"/>
      <c r="D67" s="46"/>
      <c r="E67" s="46"/>
      <c r="F67" s="46"/>
      <c r="G67" s="48">
        <f ca="1">IF(SUM(H60,H61:H66)-SUM(G60,G61:G66)&lt;0,-SUM(H60,H61:H66)+SUM(G60,G61:G66),0)</f>
        <v>0</v>
      </c>
      <c r="H67" s="48">
        <f ca="1">IF(SUM(H60,H61:H66)-SUM(G60,G61:G66)&gt;=0,SUM(H60,H61:H66)-SUM(G60,G61:G66),0)</f>
        <v>4106544.6700000018</v>
      </c>
      <c r="I67" s="48">
        <f ca="1">IF(SUM(J60,J61:J66)-SUM(I60,I61:I66)&lt;0,-SUM(J60,J61:J66)+SUM(I60,I61:I66),0)</f>
        <v>0</v>
      </c>
      <c r="J67" s="48">
        <f ca="1">IF(SUM(J60,J61:J66)-SUM(I60,I61:I66)&gt;=0,SUM(J60,J61:J66)-SUM(I60,I61:I66),0)</f>
        <v>2101608</v>
      </c>
    </row>
    <row r="68" ht="20.1" customHeight="1">
      <c r="A68" s="41" t="s">
        <v>128</v>
      </c>
      <c r="B68" s="41"/>
      <c r="C68" s="41"/>
      <c r="D68" s="41"/>
      <c r="E68" s="41"/>
      <c r="F68" s="41"/>
      <c r="G68" s="39">
        <v>0</v>
      </c>
      <c r="H68" s="39">
        <f ca="1">SF(76)</f>
        <v>0</v>
      </c>
      <c r="I68" s="39">
        <v>0</v>
      </c>
      <c r="J68" s="39">
        <f ca="1">SPF(76)</f>
        <v>0</v>
      </c>
    </row>
    <row r="69" ht="20.1" customHeight="1">
      <c r="A69" s="41" t="s">
        <v>129</v>
      </c>
      <c r="B69" s="41"/>
      <c r="C69" s="41"/>
      <c r="D69" s="41"/>
      <c r="E69" s="41"/>
      <c r="F69" s="41"/>
      <c r="G69" s="39">
        <f ca="1">SF(66)</f>
        <v>0</v>
      </c>
      <c r="H69" s="39">
        <v>0</v>
      </c>
      <c r="I69" s="39">
        <f ca="1">SPF(66)</f>
        <v>0</v>
      </c>
      <c r="J69" s="39">
        <v>0</v>
      </c>
    </row>
    <row r="70" ht="20.1" customHeight="1">
      <c r="A70" s="46" t="s">
        <v>130</v>
      </c>
      <c r="B70" s="46"/>
      <c r="C70" s="46"/>
      <c r="D70" s="46"/>
      <c r="E70" s="46"/>
      <c r="F70" s="46"/>
      <c r="G70" s="48">
        <f ca="1">IF(SUM(H68:H69)-SUM(G68:G69)&lt;0,SUM(G68:G69)-SUM(H68:H69),0)</f>
        <v>0</v>
      </c>
      <c r="H70" s="48">
        <f ca="1">IF(SUM(H68:H69)-SUM(G68:G69)&gt;=0,-SUM(G68:G69)+SUM(H68:H69),0)</f>
        <v>0</v>
      </c>
      <c r="I70" s="48">
        <f ca="1">IF(SUM(I68:I69)-SUM(J68:J69)&gt;0,SUM(I68:I69)-SUM(J68:J69),0)</f>
        <v>0</v>
      </c>
      <c r="J70" s="48">
        <f ca="1">IF(SUM(I68:I69)-SUM(J68:J69)&lt;=0,-SUM(I68:I69)+SUM(J68:J69),0)</f>
        <v>0</v>
      </c>
    </row>
    <row r="71" ht="20.1" customHeight="1">
      <c r="A71" s="106" t="s">
        <v>131</v>
      </c>
      <c r="B71" s="106"/>
      <c r="C71" s="106"/>
      <c r="D71" s="106"/>
      <c r="E71" s="106"/>
      <c r="F71" s="106"/>
      <c r="G71" s="48">
        <f ca="1">IF(H67+H70-G67-G70&lt;0,G67+G70-H67-H70,0)</f>
        <v>0</v>
      </c>
      <c r="H71" s="48">
        <f ca="1">IF(H67+H70-G67-G70&gt;=0,-G67-G70+H67+H70,0)</f>
        <v>4106544.6700000018</v>
      </c>
      <c r="I71" s="48">
        <f ca="1">IF(J67+J70-I67-I70&lt;0,I67+I70-J67-J70,0)</f>
        <v>0</v>
      </c>
      <c r="J71" s="48">
        <f ca="1">IF(J67+J70-I67-I70&gt;=0,-I67-I70+J67+J70,0)</f>
        <v>2101608</v>
      </c>
      <c r="L71" s="97"/>
    </row>
    <row r="72" ht="20.1" customHeight="1">
      <c r="A72" s="107" t="s">
        <v>132</v>
      </c>
      <c r="B72" s="108"/>
      <c r="C72" s="108"/>
      <c r="D72" s="108"/>
      <c r="E72" s="108"/>
      <c r="F72" s="109"/>
      <c r="G72" s="110">
        <f ca="1">SF(67)</f>
        <v>0</v>
      </c>
      <c r="H72" s="39">
        <v>0</v>
      </c>
      <c r="I72" s="39">
        <v>0</v>
      </c>
      <c r="J72" s="39">
        <f ca="1">SPF(77)</f>
        <v>0</v>
      </c>
    </row>
    <row r="73" ht="20.1" customHeight="1">
      <c r="A73" s="95" t="s">
        <v>133</v>
      </c>
      <c r="B73" s="95"/>
      <c r="C73" s="95"/>
      <c r="D73" s="95"/>
      <c r="E73" s="95"/>
      <c r="F73" s="95"/>
      <c r="G73" s="39">
        <v>0</v>
      </c>
      <c r="H73" s="39">
        <f ca="1">SF(77)</f>
        <v>0</v>
      </c>
      <c r="I73" s="39">
        <f ca="1">SPF(67)</f>
        <v>0</v>
      </c>
      <c r="J73" s="39">
        <v>0</v>
      </c>
      <c r="L73" s="97"/>
    </row>
    <row r="74" ht="20.1" customHeight="1">
      <c r="A74" s="46" t="s">
        <v>134</v>
      </c>
      <c r="B74" s="46"/>
      <c r="C74" s="46"/>
      <c r="D74" s="46"/>
      <c r="E74" s="46"/>
      <c r="F74" s="46"/>
      <c r="G74" s="48">
        <f ca="1">IF(SUM(H72:H73)-SUM(G72:G73)&lt;0,SUM(G72:G73)-SUM(H72:H73),0)</f>
        <v>0</v>
      </c>
      <c r="H74" s="48">
        <f ca="1">IF(SUM(H72:H73)-SUM(G72:G73)&gt;=0,-SUM(G72:G73)+SUM(H72:H73),0)</f>
        <v>0</v>
      </c>
      <c r="I74" s="48">
        <f ca="1">IF(SUM(J72:J73)-SUM(I72:I73)&lt;0,SUM(I72:I73)-SUM(J72:J73),0)</f>
        <v>0</v>
      </c>
      <c r="J74" s="48">
        <f ca="1">IF(SUM(J72:J73)-SUM(I72:I73)&gt;=0,-SUM(I72:I73)+SUM(J72:J73),0)</f>
        <v>0</v>
      </c>
      <c r="L74" s="97"/>
      <c r="M74" s="97"/>
    </row>
    <row r="75" ht="20.1" customHeight="1">
      <c r="A75" s="41" t="s">
        <v>135</v>
      </c>
      <c r="B75" s="41"/>
      <c r="C75" s="41"/>
      <c r="D75" s="41"/>
      <c r="E75" s="41"/>
      <c r="F75" s="41"/>
      <c r="G75" s="39">
        <f ca="1">SF(695)</f>
        <v>0</v>
      </c>
      <c r="H75" s="39">
        <v>0</v>
      </c>
      <c r="I75" s="39">
        <f ca="1">SPF(695)</f>
        <v>0</v>
      </c>
      <c r="J75" s="39">
        <v>0</v>
      </c>
    </row>
    <row r="76" ht="20.1" customHeight="1">
      <c r="A76" s="41" t="s">
        <v>136</v>
      </c>
      <c r="B76" s="41"/>
      <c r="C76" s="41"/>
      <c r="D76" s="41"/>
      <c r="E76" s="41"/>
      <c r="F76" s="41"/>
      <c r="G76" s="39">
        <f ca="1">SF(692)+SF(693)+SF(698)</f>
        <v>0</v>
      </c>
      <c r="H76" s="39">
        <v>0</v>
      </c>
      <c r="I76" s="39">
        <f ca="1">SPF(692)+SPF(693)+SPF(698)</f>
        <v>0</v>
      </c>
      <c r="J76" s="39">
        <v>0</v>
      </c>
    </row>
    <row r="77" ht="20.1" customHeight="1">
      <c r="A77" s="46" t="s">
        <v>137</v>
      </c>
      <c r="B77" s="46"/>
      <c r="C77" s="46"/>
      <c r="D77" s="46"/>
      <c r="E77" s="46"/>
      <c r="F77" s="46"/>
      <c r="G77" s="48">
        <f ca="1">IF(SUM(G71,G74,G75:G76)-SUM(H71,H74,H75:H76)&gt;0,SUM(G71,G74,G75:G76)-SUM(H71,H74,H75:H76),0)</f>
        <v>0</v>
      </c>
      <c r="H77" s="48">
        <f ca="1">IF(SUM(G71,G74,G75:G76)-SUM(H71,H74,H75:H76)&lt;=0,-SUM(G71,G74,G75:G76)+SUM(H71,H74,H75:H76),0)</f>
        <v>4106544.6700000018</v>
      </c>
      <c r="I77" s="48">
        <f ca="1">IF(SUM(I71,I74,I75:I76)-SUM(J71,J74,J75:J76)&gt;0,SUM(I71,I74,I75:I76)-SUM(J71,J74,J75:J76),0)</f>
        <v>0</v>
      </c>
      <c r="J77" s="48">
        <f ca="1">IF(SUM(I71,I74,I75:I76)-SUM(J71,J74,J75:J76)&lt;=0,-SUM(I71,I74,I75:I76)+SUM(J71,J74,J75:J76),0)</f>
        <v>2101608</v>
      </c>
    </row>
    <row r="79" ht="12.75">
      <c r="A79" s="111" t="s">
        <v>138</v>
      </c>
    </row>
  </sheetData>
  <mergeCells count="68">
    <mergeCell ref="E51:F51"/>
    <mergeCell ref="F53:H53"/>
    <mergeCell ref="G55:H55"/>
    <mergeCell ref="A55:F55"/>
    <mergeCell ref="I55:J55"/>
    <mergeCell ref="A56:F56"/>
    <mergeCell ref="A57:F57"/>
    <mergeCell ref="A58:A59"/>
    <mergeCell ref="B58:F58"/>
    <mergeCell ref="B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3:F73"/>
    <mergeCell ref="A74:F74"/>
    <mergeCell ref="A75:F75"/>
    <mergeCell ref="A76:F76"/>
    <mergeCell ref="A77:F77"/>
    <mergeCell ref="H1:I1"/>
    <mergeCell ref="A1:E1"/>
    <mergeCell ref="E7:F7"/>
    <mergeCell ref="A25:F25"/>
    <mergeCell ref="A26:F26"/>
    <mergeCell ref="A27:F27"/>
    <mergeCell ref="A28:F28"/>
    <mergeCell ref="A29:F29"/>
    <mergeCell ref="A30:F30"/>
    <mergeCell ref="A31:F31"/>
    <mergeCell ref="B32:F32"/>
    <mergeCell ref="B33:F33"/>
    <mergeCell ref="B34:F34"/>
    <mergeCell ref="B35:F35"/>
    <mergeCell ref="B36:F36"/>
    <mergeCell ref="B37:F37"/>
    <mergeCell ref="B38:F38"/>
    <mergeCell ref="B39:F39"/>
    <mergeCell ref="A40:F40"/>
    <mergeCell ref="A41:F41"/>
    <mergeCell ref="A42:F42"/>
    <mergeCell ref="A43:F43"/>
    <mergeCell ref="A45:F45"/>
    <mergeCell ref="H45:I45"/>
    <mergeCell ref="F9:H9"/>
    <mergeCell ref="G11:H11"/>
    <mergeCell ref="I11:J11"/>
    <mergeCell ref="A11:F11"/>
    <mergeCell ref="A12:F12"/>
    <mergeCell ref="A13:F13"/>
    <mergeCell ref="A14:F14"/>
    <mergeCell ref="D15:F15"/>
    <mergeCell ref="D16:F16"/>
    <mergeCell ref="D17:F17"/>
    <mergeCell ref="A18:F18"/>
    <mergeCell ref="A19:F19"/>
    <mergeCell ref="A20:F20"/>
    <mergeCell ref="A21:F21"/>
    <mergeCell ref="A22:F22"/>
    <mergeCell ref="A23:F23"/>
    <mergeCell ref="A24:F24"/>
  </mergeCells>
  <pageMargins left="0.7" right="0.7" top="0.75" bottom="0.75" header="0.5118055" footer="0.5118055"/>
  <pageSetup paperSize="9" orientation="portrait" horizontalDpi="300" verticalDpi="300"/>
  <rowBreaks count="1" manualBreakCount="1">
    <brk id="43" man="1"/>
  </rowBreak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E6" sqref="E6"/>
    </sheetView>
  </sheetViews>
  <sheetFormatPr defaultColWidth="11.42188" defaultRowHeight="15"/>
  <cols>
    <col min="1" max="1" width="8.003906" style="3" customWidth="1"/>
    <col min="2" max="2" width="3.140625" style="3" customWidth="1"/>
    <col min="3" max="3" width="5.851563" style="3" customWidth="1"/>
    <col min="4" max="4" width="17.14063" style="2" customWidth="1"/>
    <col min="5" max="5" width="14.00391" style="2" customWidth="1"/>
    <col min="6" max="6" width="12.42188" style="2" customWidth="1"/>
    <col min="7" max="7" width="13.57422" style="2" customWidth="1"/>
    <col min="8" max="8" width="12.71094" style="3" customWidth="1"/>
    <col min="9" max="257" width="11.42188" style="3"/>
  </cols>
  <sheetData>
    <row r="1" ht="12.75">
      <c r="A1" s="4" t="s">
        <v>0</v>
      </c>
      <c r="B1" s="4"/>
      <c r="C1" s="4"/>
      <c r="D1" s="4"/>
      <c r="E1" s="68" t="s">
        <v>1</v>
      </c>
      <c r="F1" s="7" t="str">
        <f ca="1">NIF()</f>
        <v>195847070002536</v>
      </c>
      <c r="G1" s="7"/>
    </row>
    <row r="2" ht="8.1" customHeight="1">
      <c r="A2" s="5"/>
      <c r="B2" s="5"/>
      <c r="C2" s="5"/>
      <c r="D2" s="5"/>
      <c r="E2" s="5"/>
    </row>
    <row r="3" ht="8.1" customHeight="1"/>
    <row r="4" ht="15">
      <c r="A4" s="56" t="s">
        <v>71</v>
      </c>
      <c r="B4" s="71"/>
      <c r="C4" s="72"/>
      <c r="D4" s="72"/>
      <c r="E4" s="102" t="str">
        <f ca="1">Client()</f>
        <v>BAROUD DJELLOUL E.T.E.H.B.</v>
      </c>
      <c r="F4" s="103"/>
      <c r="G4" s="103"/>
      <c r="H4" s="75"/>
    </row>
    <row r="5" ht="15">
      <c r="A5" s="58" t="s">
        <v>72</v>
      </c>
      <c r="B5" s="76"/>
      <c r="C5" s="77"/>
      <c r="D5" s="77"/>
      <c r="E5" s="78" t="str">
        <f ca="1">ACT()</f>
        <v>BP 377; BENI-ISGUEN.BOUNOURA.</v>
      </c>
      <c r="F5" s="79"/>
      <c r="G5" s="79"/>
      <c r="H5" s="80"/>
    </row>
    <row r="6" ht="15">
      <c r="A6" s="60" t="s">
        <v>73</v>
      </c>
      <c r="B6" s="81"/>
      <c r="C6" s="82"/>
      <c r="D6" s="82"/>
      <c r="E6" s="83" t="str">
        <f ca="1">ADRS()</f>
        <v/>
      </c>
      <c r="F6" s="84"/>
      <c r="G6" s="84"/>
      <c r="H6" s="86"/>
    </row>
    <row r="7" ht="8.1" customHeight="1">
      <c r="A7" s="17"/>
      <c r="B7" s="112"/>
      <c r="C7" s="112"/>
      <c r="D7" s="18"/>
      <c r="E7" s="18"/>
    </row>
    <row r="8" ht="15">
      <c r="B8" s="113"/>
      <c r="C8" s="113"/>
      <c r="D8" s="114" t="s">
        <v>74</v>
      </c>
      <c r="E8" s="20">
        <f ca="1">DATE(Exercice(),"01","01")</f>
        <v>43466</v>
      </c>
      <c r="F8" s="20" t="s">
        <v>75</v>
      </c>
      <c r="G8" s="20">
        <f ca="1">DATE(Exercice(),"12","31")</f>
        <v>43830</v>
      </c>
    </row>
    <row r="10" ht="23.25" customHeight="1">
      <c r="A10" s="115" t="s">
        <v>139</v>
      </c>
      <c r="B10" s="115"/>
      <c r="C10" s="115"/>
      <c r="D10" s="115"/>
    </row>
    <row r="12" ht="15" customHeight="1">
      <c r="A12" s="116" t="s">
        <v>140</v>
      </c>
      <c r="B12" s="116"/>
      <c r="C12" s="116"/>
      <c r="D12" s="116"/>
      <c r="E12" s="117" t="s">
        <v>141</v>
      </c>
      <c r="F12" s="116" t="s">
        <v>142</v>
      </c>
      <c r="G12" s="116"/>
      <c r="H12" s="117" t="s">
        <v>143</v>
      </c>
    </row>
    <row r="13" ht="15">
      <c r="A13" s="116"/>
      <c r="B13" s="116"/>
      <c r="C13" s="116"/>
      <c r="D13" s="116"/>
      <c r="E13" s="117"/>
      <c r="F13" s="116" t="s">
        <v>144</v>
      </c>
      <c r="G13" s="116" t="s">
        <v>145</v>
      </c>
      <c r="H13" s="117"/>
    </row>
    <row r="14" ht="20.1" customHeight="1">
      <c r="A14" s="41" t="s">
        <v>146</v>
      </c>
      <c r="B14" s="41"/>
      <c r="C14" s="41"/>
      <c r="D14" s="41"/>
      <c r="E14" s="39">
        <f ca="1">SP(300)</f>
        <v>0</v>
      </c>
      <c r="F14" s="39">
        <f ca="1">MD(300)</f>
        <v>0</v>
      </c>
      <c r="G14" s="39">
        <f ca="1">MC(300)</f>
        <v>0</v>
      </c>
      <c r="H14" s="39">
        <f ca="1">SF(300)</f>
        <v>0</v>
      </c>
    </row>
    <row r="15" ht="20.1" customHeight="1">
      <c r="A15" s="41" t="s">
        <v>147</v>
      </c>
      <c r="B15" s="41"/>
      <c r="C15" s="41"/>
      <c r="D15" s="41"/>
      <c r="E15" s="39">
        <f ca="1">SPF(31)</f>
        <v>0</v>
      </c>
      <c r="F15" s="39">
        <f ca="1">MD(31)</f>
        <v>845784.45999999996</v>
      </c>
      <c r="G15" s="39">
        <f ca="1">MC(31)</f>
        <v>845784.45999999996</v>
      </c>
      <c r="H15" s="39">
        <f ca="1">SF(31)</f>
        <v>0</v>
      </c>
    </row>
    <row r="16" ht="20.1" customHeight="1">
      <c r="A16" s="41" t="s">
        <v>95</v>
      </c>
      <c r="B16" s="41"/>
      <c r="C16" s="41"/>
      <c r="D16" s="41"/>
      <c r="E16" s="39">
        <f ca="1">SP(321)</f>
        <v>0</v>
      </c>
      <c r="F16" s="39">
        <f ca="1">MD(302)</f>
        <v>0</v>
      </c>
      <c r="G16" s="39">
        <f ca="1">MC(302)</f>
        <v>0</v>
      </c>
      <c r="H16" s="39">
        <f ca="1">S(321)</f>
        <v>0</v>
      </c>
    </row>
    <row r="17" ht="20.1" customHeight="1">
      <c r="A17" s="41" t="s">
        <v>148</v>
      </c>
      <c r="B17" s="41"/>
      <c r="C17" s="41"/>
      <c r="D17" s="41"/>
      <c r="E17" s="39"/>
      <c r="F17" s="39"/>
      <c r="G17" s="39"/>
      <c r="H17" s="39"/>
    </row>
    <row r="18" ht="20.1" customHeight="1">
      <c r="A18" s="41" t="s">
        <v>149</v>
      </c>
      <c r="B18" s="41"/>
      <c r="C18" s="41"/>
      <c r="D18" s="41"/>
      <c r="E18" s="39"/>
      <c r="F18" s="39"/>
      <c r="G18" s="39"/>
      <c r="H18" s="39"/>
    </row>
    <row r="19" ht="20.1" customHeight="1">
      <c r="A19" s="41" t="s">
        <v>150</v>
      </c>
      <c r="B19" s="41"/>
      <c r="C19" s="41"/>
      <c r="D19" s="41"/>
      <c r="E19" s="39">
        <f ca="1">SP(35)</f>
        <v>0</v>
      </c>
      <c r="F19" s="39">
        <f ca="1">MD(35)</f>
        <v>0</v>
      </c>
      <c r="G19" s="39">
        <f ca="1">MC(35)</f>
        <v>0</v>
      </c>
      <c r="H19" s="39">
        <f ca="1">S(35)</f>
        <v>0</v>
      </c>
    </row>
    <row r="20" ht="20.1" customHeight="1">
      <c r="A20" s="41" t="s">
        <v>151</v>
      </c>
      <c r="B20" s="41"/>
      <c r="C20" s="41"/>
      <c r="D20" s="41"/>
      <c r="E20" s="39"/>
      <c r="F20" s="39"/>
      <c r="G20" s="39"/>
      <c r="H20" s="39" t="s">
        <v>18</v>
      </c>
    </row>
    <row r="21" ht="20.1" customHeight="1">
      <c r="A21" s="41" t="s">
        <v>152</v>
      </c>
      <c r="B21" s="41"/>
      <c r="C21" s="41"/>
      <c r="D21" s="41"/>
      <c r="E21" s="39" t="s">
        <v>18</v>
      </c>
      <c r="F21" s="39"/>
      <c r="G21" s="39" t="s">
        <v>18</v>
      </c>
      <c r="H21" s="39" t="s">
        <v>18</v>
      </c>
    </row>
    <row r="22" ht="20.1" customHeight="1">
      <c r="A22" s="118" t="s">
        <v>153</v>
      </c>
      <c r="B22" s="118"/>
      <c r="C22" s="118"/>
      <c r="D22" s="118"/>
      <c r="E22" s="39">
        <f ca="1">SUM(E14:E21)</f>
        <v>0</v>
      </c>
      <c r="F22" s="39">
        <f ca="1">SUM(F14:F21)</f>
        <v>845784.45999999996</v>
      </c>
      <c r="G22" s="39">
        <f ca="1">SUM(G14:G21)</f>
        <v>845784.45999999996</v>
      </c>
      <c r="H22" s="39">
        <f ca="1">SUM(H14:H21)</f>
        <v>0</v>
      </c>
    </row>
    <row r="24" ht="19.5" customHeight="1">
      <c r="A24" s="115" t="s">
        <v>154</v>
      </c>
      <c r="B24" s="115"/>
      <c r="C24" s="115"/>
      <c r="D24" s="115"/>
      <c r="E24" s="115"/>
    </row>
    <row r="26" ht="12.75">
      <c r="A26" s="119" t="s">
        <v>144</v>
      </c>
      <c r="B26" s="119"/>
      <c r="C26" s="119"/>
      <c r="D26" s="119" t="s">
        <v>145</v>
      </c>
      <c r="E26" s="116" t="s">
        <v>143</v>
      </c>
      <c r="F26" s="116"/>
      <c r="G26" s="116"/>
      <c r="H26" s="116"/>
    </row>
    <row r="27" ht="12.75">
      <c r="A27" s="119"/>
      <c r="B27" s="119"/>
      <c r="C27" s="119"/>
      <c r="D27" s="119"/>
      <c r="E27" s="119"/>
      <c r="F27" s="116"/>
      <c r="G27" s="116"/>
      <c r="H27" s="116"/>
    </row>
    <row r="28" ht="12.75">
      <c r="A28" s="119"/>
      <c r="B28" s="119"/>
      <c r="C28" s="119"/>
      <c r="D28" s="119"/>
      <c r="E28" s="116" t="s">
        <v>155</v>
      </c>
      <c r="F28" s="116"/>
      <c r="G28" s="116" t="s">
        <v>156</v>
      </c>
      <c r="H28" s="116"/>
    </row>
    <row r="29" ht="12.75">
      <c r="A29" s="119"/>
      <c r="B29" s="119"/>
      <c r="C29" s="119"/>
      <c r="D29" s="119"/>
      <c r="E29" s="119"/>
      <c r="F29" s="116"/>
      <c r="G29" s="116"/>
      <c r="H29" s="116"/>
    </row>
    <row r="30" ht="20.1" customHeight="1">
      <c r="A30" s="120">
        <f ca="1">SD(72)</f>
        <v>0</v>
      </c>
      <c r="B30" s="120"/>
      <c r="C30" s="120"/>
      <c r="D30" s="120">
        <f ca="1">SC(72)</f>
        <v>0</v>
      </c>
      <c r="E30" s="121">
        <f ca="1">IF(SS(72)&lt;0,0,SF(72))</f>
        <v>0</v>
      </c>
      <c r="F30" s="121"/>
      <c r="G30" s="122">
        <f ca="1">IF(SS(72)&gt;0,0,SF(72))</f>
        <v>0</v>
      </c>
      <c r="H30" s="122"/>
    </row>
    <row r="31" ht="20.1" customHeight="1">
      <c r="A31" s="123"/>
      <c r="B31" s="123"/>
      <c r="C31" s="123"/>
      <c r="D31" s="123"/>
      <c r="E31" s="121" t="s">
        <v>18</v>
      </c>
      <c r="F31" s="121"/>
      <c r="G31" s="121"/>
      <c r="H31" s="121"/>
    </row>
    <row r="32" ht="20.1" customHeight="1">
      <c r="A32" s="123"/>
      <c r="B32" s="123"/>
      <c r="C32" s="123"/>
      <c r="D32" s="123"/>
      <c r="E32" s="121"/>
      <c r="F32" s="121"/>
      <c r="G32" s="121"/>
      <c r="H32" s="121"/>
    </row>
    <row r="33" ht="20.1" customHeight="1">
      <c r="A33" s="123"/>
      <c r="B33" s="123"/>
      <c r="C33" s="123"/>
      <c r="D33" s="123"/>
      <c r="E33" s="121"/>
      <c r="F33" s="121"/>
      <c r="G33" s="121"/>
      <c r="H33" s="121"/>
    </row>
    <row r="34" ht="20.1" customHeight="1">
      <c r="A34" s="123"/>
      <c r="B34" s="123"/>
      <c r="C34" s="123"/>
      <c r="D34" s="123"/>
      <c r="E34" s="121"/>
      <c r="F34" s="121"/>
      <c r="G34" s="121"/>
      <c r="H34" s="121"/>
    </row>
    <row r="35" ht="20.1" customHeight="1">
      <c r="A35" s="123"/>
      <c r="B35" s="123"/>
      <c r="C35" s="123"/>
      <c r="D35" s="123"/>
      <c r="E35" s="121"/>
      <c r="F35" s="121"/>
      <c r="G35" s="121"/>
      <c r="H35" s="121"/>
    </row>
    <row r="36" ht="20.1" customHeight="1">
      <c r="A36" s="123"/>
      <c r="B36" s="123"/>
      <c r="C36" s="123"/>
      <c r="D36" s="123"/>
      <c r="E36" s="121"/>
      <c r="F36" s="121"/>
      <c r="G36" s="121"/>
      <c r="H36" s="121"/>
    </row>
    <row r="37" ht="20.1" customHeight="1">
      <c r="A37" s="123"/>
      <c r="B37" s="123"/>
      <c r="C37" s="123"/>
      <c r="D37" s="123"/>
      <c r="E37" s="121"/>
      <c r="F37" s="121"/>
      <c r="G37" s="121"/>
      <c r="H37" s="121"/>
    </row>
    <row r="38" ht="20.1" customHeight="1">
      <c r="A38" s="123"/>
      <c r="B38" s="123"/>
      <c r="C38" s="123"/>
      <c r="D38" s="123"/>
      <c r="E38" s="121"/>
      <c r="F38" s="121"/>
      <c r="G38" s="121"/>
      <c r="H38" s="121"/>
    </row>
    <row r="39" ht="20.1" customHeight="1">
      <c r="A39" s="123"/>
      <c r="B39" s="123"/>
      <c r="C39" s="123"/>
      <c r="D39" s="123"/>
      <c r="E39" s="121"/>
      <c r="F39" s="121"/>
      <c r="G39" s="121"/>
      <c r="H39" s="121"/>
    </row>
    <row r="40" ht="20.1" customHeight="1">
      <c r="A40" s="123"/>
      <c r="B40" s="123"/>
      <c r="C40" s="123"/>
      <c r="D40" s="123"/>
      <c r="E40" s="121"/>
      <c r="F40" s="121"/>
      <c r="G40" s="121"/>
      <c r="H40" s="121"/>
    </row>
    <row r="41" ht="20.1" customHeight="1">
      <c r="A41" s="123"/>
      <c r="B41" s="123"/>
      <c r="C41" s="123"/>
      <c r="D41" s="123"/>
      <c r="E41" s="121"/>
      <c r="F41" s="121"/>
      <c r="G41" s="121"/>
      <c r="H41" s="121"/>
    </row>
    <row r="42" ht="20.1" customHeight="1">
      <c r="A42" s="123"/>
      <c r="B42" s="123"/>
      <c r="C42" s="123"/>
      <c r="D42" s="123"/>
      <c r="E42" s="121"/>
      <c r="F42" s="121"/>
      <c r="G42" s="121"/>
      <c r="H42" s="121"/>
    </row>
  </sheetData>
  <mergeCells count="61">
    <mergeCell ref="G33:H33"/>
    <mergeCell ref="E33:F33"/>
    <mergeCell ref="A33:C33"/>
    <mergeCell ref="A34:C34"/>
    <mergeCell ref="G34:H34"/>
    <mergeCell ref="E34:F34"/>
    <mergeCell ref="E35:F35"/>
    <mergeCell ref="G35:H35"/>
    <mergeCell ref="A35:C35"/>
    <mergeCell ref="G36:H36"/>
    <mergeCell ref="A36:C36"/>
    <mergeCell ref="E36:F36"/>
    <mergeCell ref="E37:F37"/>
    <mergeCell ref="A37:C37"/>
    <mergeCell ref="G37:H37"/>
    <mergeCell ref="E38:F38"/>
    <mergeCell ref="A38:C38"/>
    <mergeCell ref="G38:H38"/>
    <mergeCell ref="A39:C39"/>
    <mergeCell ref="E39:F39"/>
    <mergeCell ref="G39:H39"/>
    <mergeCell ref="E40:F40"/>
    <mergeCell ref="A40:C40"/>
    <mergeCell ref="G40:H40"/>
    <mergeCell ref="G41:H41"/>
    <mergeCell ref="E41:F41"/>
    <mergeCell ref="A41:C41"/>
    <mergeCell ref="E42:F42"/>
    <mergeCell ref="A42:C42"/>
    <mergeCell ref="G42:H42"/>
    <mergeCell ref="F1:G1"/>
    <mergeCell ref="A1:D1"/>
    <mergeCell ref="A10:D10"/>
    <mergeCell ref="H12:H13"/>
    <mergeCell ref="F12:G12"/>
    <mergeCell ref="A12:D13"/>
    <mergeCell ref="E12:E13"/>
    <mergeCell ref="A14:D14"/>
    <mergeCell ref="A15:D15"/>
    <mergeCell ref="A16:D16"/>
    <mergeCell ref="A17:D17"/>
    <mergeCell ref="A18:D18"/>
    <mergeCell ref="E30:F30"/>
    <mergeCell ref="G30:H30"/>
    <mergeCell ref="A30:C30"/>
    <mergeCell ref="E31:F31"/>
    <mergeCell ref="G31:H31"/>
    <mergeCell ref="A31:C31"/>
    <mergeCell ref="A32:C32"/>
    <mergeCell ref="E32:F32"/>
    <mergeCell ref="G32:H32"/>
    <mergeCell ref="A19:D19"/>
    <mergeCell ref="A20:D20"/>
    <mergeCell ref="A21:D21"/>
    <mergeCell ref="A22:D22"/>
    <mergeCell ref="A24:E24"/>
    <mergeCell ref="A26:C29"/>
    <mergeCell ref="E26:H27"/>
    <mergeCell ref="D26:D29"/>
    <mergeCell ref="G28:H29"/>
    <mergeCell ref="E28:F29"/>
  </mergeCells>
  <pageMargins left="0.7" right="0.7" top="0.75" bottom="0.75" header="0.5118055" footer="0.5118055"/>
  <pageSetup paperSize="9" orientation="portrait" horizontalDpi="300" verticalDpi="300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E7" sqref="E7:G7"/>
    </sheetView>
  </sheetViews>
  <sheetFormatPr defaultColWidth="11.42188" defaultRowHeight="15"/>
  <cols>
    <col min="1" max="1" width="8.003906" style="3" customWidth="1"/>
    <col min="2" max="2" width="3.140625" style="3" customWidth="1"/>
    <col min="3" max="3" width="5.851563" style="3" customWidth="1"/>
    <col min="4" max="4" width="17.14063" style="2" customWidth="1"/>
    <col min="5" max="5" width="14.28125" style="2" customWidth="1"/>
    <col min="6" max="6" width="13.57422" style="2" customWidth="1"/>
    <col min="7" max="7" width="9.851563" style="2" customWidth="1"/>
    <col min="8" max="8" width="14.28125" style="124" customWidth="1"/>
    <col min="9" max="257" width="11.42188" style="3"/>
  </cols>
  <sheetData>
    <row r="1" ht="12.75">
      <c r="A1" s="4" t="s">
        <v>0</v>
      </c>
      <c r="B1" s="4"/>
      <c r="C1" s="4"/>
      <c r="D1" s="4"/>
      <c r="E1" s="68" t="s">
        <v>1</v>
      </c>
      <c r="F1" s="7" t="str">
        <f ca="1">NIF()</f>
        <v>195847070002536</v>
      </c>
      <c r="G1" s="7"/>
    </row>
    <row r="2" hidden="1" ht="7.5" customHeight="1">
      <c r="A2" s="5"/>
      <c r="B2" s="5"/>
      <c r="C2" s="5"/>
      <c r="D2" s="5"/>
      <c r="E2" s="5"/>
    </row>
    <row r="3" hidden="1" ht="7.5" customHeight="1"/>
    <row r="4" ht="7.5" customHeight="1"/>
    <row r="5" ht="15">
      <c r="A5" s="56" t="s">
        <v>114</v>
      </c>
      <c r="B5" s="71"/>
      <c r="C5" s="72"/>
      <c r="D5" s="72"/>
      <c r="E5" s="125" t="str">
        <f ca="1">Client()</f>
        <v>BAROUD DJELLOUL E.T.E.H.B.</v>
      </c>
      <c r="F5" s="125"/>
      <c r="G5" s="125"/>
      <c r="H5" s="126"/>
    </row>
    <row r="6" ht="15">
      <c r="A6" s="58" t="s">
        <v>115</v>
      </c>
      <c r="B6" s="76"/>
      <c r="C6" s="77"/>
      <c r="D6" s="77"/>
      <c r="E6" s="127" t="str">
        <f ca="1">ACT()</f>
        <v>BP 377; BENI-ISGUEN.BOUNOURA.</v>
      </c>
      <c r="F6" s="127"/>
      <c r="G6" s="127"/>
      <c r="H6" s="128"/>
    </row>
    <row r="7" ht="15">
      <c r="A7" s="60" t="s">
        <v>116</v>
      </c>
      <c r="B7" s="81"/>
      <c r="C7" s="82"/>
      <c r="D7" s="82"/>
      <c r="E7" s="129" t="str">
        <f ca="1">ADRS()</f>
        <v/>
      </c>
      <c r="F7" s="129"/>
      <c r="G7" s="129"/>
      <c r="H7" s="130"/>
    </row>
    <row r="8" ht="6" customHeight="1"/>
    <row r="9" ht="15">
      <c r="D9" s="131" t="s">
        <v>74</v>
      </c>
      <c r="E9" s="132">
        <f ca="1">DATE(Exercice(),"01","01")</f>
        <v>43466</v>
      </c>
      <c r="F9" s="20" t="s">
        <v>75</v>
      </c>
      <c r="G9" s="20">
        <f ca="1">DATE(Exercice(),"12","31")</f>
        <v>43830</v>
      </c>
    </row>
    <row r="10" s="2" customFormat="1" ht="17.25" customHeight="1">
      <c r="A10" s="133" t="s">
        <v>157</v>
      </c>
      <c r="B10" s="133"/>
      <c r="C10" s="133"/>
      <c r="D10" s="133"/>
      <c r="E10" s="133"/>
      <c r="F10" s="133"/>
      <c r="G10" s="133"/>
      <c r="H10" s="124"/>
      <c r="I10" s="3"/>
      <c r="J10" s="3"/>
      <c r="K10" s="3"/>
      <c r="L10" s="3"/>
    </row>
    <row r="11" s="2" customFormat="1" ht="6" customHeight="1">
      <c r="A11" s="134"/>
      <c r="B11" s="135"/>
      <c r="C11" s="135"/>
      <c r="D11" s="135"/>
      <c r="E11" s="136"/>
      <c r="F11" s="136"/>
      <c r="G11" s="136"/>
      <c r="H11" s="124"/>
      <c r="I11" s="3"/>
      <c r="J11" s="3"/>
      <c r="K11" s="3"/>
      <c r="L11" s="3"/>
    </row>
    <row r="12" s="2" customFormat="1" ht="12.75">
      <c r="A12" s="116" t="s">
        <v>140</v>
      </c>
      <c r="B12" s="116"/>
      <c r="C12" s="116"/>
      <c r="D12" s="116"/>
      <c r="E12" s="116"/>
      <c r="F12" s="116"/>
      <c r="G12" s="116"/>
      <c r="H12" s="137" t="s">
        <v>8</v>
      </c>
      <c r="I12" s="3"/>
      <c r="J12" s="3"/>
      <c r="K12" s="3"/>
      <c r="L12" s="3"/>
    </row>
    <row r="13" s="2" customFormat="1" ht="12.75">
      <c r="A13" s="116" t="s">
        <v>110</v>
      </c>
      <c r="B13" s="116"/>
      <c r="C13" s="116"/>
      <c r="D13" s="116"/>
      <c r="E13" s="116"/>
      <c r="F13" s="116"/>
      <c r="G13" s="116"/>
      <c r="H13" s="137"/>
      <c r="I13" s="3"/>
      <c r="J13" s="3"/>
      <c r="K13" s="3"/>
      <c r="L13" s="3"/>
    </row>
    <row r="14" s="2" customFormat="1" ht="12.75">
      <c r="A14" s="41" t="s">
        <v>158</v>
      </c>
      <c r="B14" s="41"/>
      <c r="C14" s="41"/>
      <c r="D14" s="41"/>
      <c r="E14" s="41"/>
      <c r="F14" s="41"/>
      <c r="G14" s="41"/>
      <c r="H14" s="38">
        <f ca="1">S(614)</f>
        <v>0</v>
      </c>
      <c r="I14" s="3"/>
      <c r="J14" s="3"/>
      <c r="K14" s="3"/>
      <c r="L14" s="3"/>
    </row>
    <row r="15" s="2" customFormat="1" ht="12.75">
      <c r="A15" s="41" t="s">
        <v>159</v>
      </c>
      <c r="B15" s="41"/>
      <c r="C15" s="41"/>
      <c r="D15" s="41"/>
      <c r="E15" s="41"/>
      <c r="F15" s="41"/>
      <c r="G15" s="41"/>
      <c r="H15" s="38"/>
      <c r="I15" s="3"/>
      <c r="J15" s="3"/>
      <c r="K15" s="3"/>
      <c r="L15" s="3"/>
    </row>
    <row r="16" s="2" customFormat="1" ht="12.75">
      <c r="A16" s="41" t="s">
        <v>160</v>
      </c>
      <c r="B16" s="41"/>
      <c r="C16" s="41"/>
      <c r="D16" s="41"/>
      <c r="E16" s="41"/>
      <c r="F16" s="41"/>
      <c r="G16" s="41"/>
      <c r="H16" s="38"/>
      <c r="I16" s="3"/>
      <c r="J16" s="3"/>
      <c r="K16" s="3"/>
      <c r="L16" s="3"/>
    </row>
    <row r="17" s="2" customFormat="1" ht="12.75">
      <c r="A17" s="41" t="s">
        <v>161</v>
      </c>
      <c r="B17" s="41"/>
      <c r="C17" s="41"/>
      <c r="D17" s="41"/>
      <c r="E17" s="41"/>
      <c r="F17" s="41"/>
      <c r="G17" s="41"/>
      <c r="H17" s="38">
        <f ca="1">S(624)</f>
        <v>0</v>
      </c>
      <c r="I17" s="3"/>
      <c r="J17" s="3"/>
      <c r="K17" s="3"/>
      <c r="L17" s="3"/>
    </row>
    <row r="18" s="2" customFormat="1" ht="12.75">
      <c r="A18" s="41" t="s">
        <v>162</v>
      </c>
      <c r="B18" s="41"/>
      <c r="C18" s="41"/>
      <c r="D18" s="41"/>
      <c r="E18" s="41"/>
      <c r="F18" s="41"/>
      <c r="G18" s="41"/>
      <c r="H18" s="38">
        <f ca="1">S(626)</f>
        <v>127200</v>
      </c>
      <c r="I18" s="3"/>
      <c r="J18" s="3"/>
      <c r="K18" s="3"/>
      <c r="L18" s="3"/>
    </row>
    <row r="19" s="2" customFormat="1" ht="12.75">
      <c r="A19" s="41" t="s">
        <v>163</v>
      </c>
      <c r="B19" s="41"/>
      <c r="C19" s="41"/>
      <c r="D19" s="41"/>
      <c r="E19" s="41"/>
      <c r="F19" s="41"/>
      <c r="G19" s="41"/>
      <c r="H19" s="38">
        <f ca="1">S(627)</f>
        <v>28923.700000000001</v>
      </c>
      <c r="I19" s="3"/>
      <c r="J19" s="3"/>
      <c r="K19" s="3"/>
      <c r="L19" s="3"/>
    </row>
    <row r="20" s="2" customFormat="1" ht="12.75">
      <c r="A20" s="41" t="s">
        <v>164</v>
      </c>
      <c r="B20" s="41"/>
      <c r="C20" s="41"/>
      <c r="D20" s="41"/>
      <c r="E20" s="41"/>
      <c r="F20" s="41"/>
      <c r="G20" s="41"/>
      <c r="H20" s="38"/>
      <c r="I20" s="3"/>
      <c r="J20" s="3"/>
      <c r="K20" s="3"/>
      <c r="L20" s="3"/>
    </row>
    <row r="21" s="2" customFormat="1" ht="12.75">
      <c r="A21" s="68" t="s">
        <v>165</v>
      </c>
      <c r="B21" s="68"/>
      <c r="C21" s="68"/>
      <c r="D21" s="68"/>
      <c r="E21" s="68"/>
      <c r="F21" s="68"/>
      <c r="G21" s="68"/>
      <c r="H21" s="38">
        <f ca="1">SUM(H14:H20)</f>
        <v>156123.70000000001</v>
      </c>
      <c r="I21" s="3"/>
      <c r="J21" s="3"/>
      <c r="K21" s="3"/>
      <c r="L21" s="3"/>
    </row>
    <row r="22" s="2" customFormat="1" ht="12.75">
      <c r="A22" s="138" t="s">
        <v>118</v>
      </c>
      <c r="B22" s="138"/>
      <c r="C22" s="138"/>
      <c r="D22" s="138"/>
      <c r="E22" s="138"/>
      <c r="F22" s="138"/>
      <c r="G22" s="138"/>
      <c r="H22" s="139"/>
      <c r="I22" s="3"/>
      <c r="J22" s="3"/>
      <c r="K22" s="3"/>
      <c r="L22" s="3"/>
    </row>
    <row r="23" s="2" customFormat="1" ht="12.75">
      <c r="A23" s="41" t="s">
        <v>166</v>
      </c>
      <c r="B23" s="41"/>
      <c r="C23" s="41"/>
      <c r="D23" s="41"/>
      <c r="E23" s="41"/>
      <c r="F23" s="41"/>
      <c r="G23" s="41"/>
      <c r="H23" s="38">
        <f ca="1">S(631)</f>
        <v>2177320.2599999998</v>
      </c>
      <c r="I23" s="3"/>
      <c r="J23" s="3"/>
      <c r="K23" s="3"/>
      <c r="L23" s="3"/>
    </row>
    <row r="24" s="2" customFormat="1" ht="12.75">
      <c r="A24" s="41" t="s">
        <v>167</v>
      </c>
      <c r="B24" s="41"/>
      <c r="C24" s="41"/>
      <c r="D24" s="41"/>
      <c r="E24" s="41"/>
      <c r="F24" s="41"/>
      <c r="G24" s="41"/>
      <c r="H24" s="38"/>
      <c r="I24" s="3"/>
      <c r="J24" s="3"/>
      <c r="K24" s="3"/>
      <c r="L24" s="3"/>
    </row>
    <row r="25" s="2" customFormat="1" ht="12.75">
      <c r="A25" s="41" t="s">
        <v>168</v>
      </c>
      <c r="B25" s="41"/>
      <c r="C25" s="41"/>
      <c r="D25" s="41"/>
      <c r="E25" s="41"/>
      <c r="F25" s="41"/>
      <c r="G25" s="41"/>
      <c r="H25" s="38">
        <f ca="1">S(635)</f>
        <v>1027769.65</v>
      </c>
      <c r="I25" s="3"/>
      <c r="J25" s="3"/>
      <c r="K25" s="3"/>
      <c r="L25" s="3"/>
    </row>
    <row r="26" s="2" customFormat="1" ht="12.75">
      <c r="A26" s="41" t="s">
        <v>169</v>
      </c>
      <c r="B26" s="41"/>
      <c r="C26" s="41"/>
      <c r="D26" s="41"/>
      <c r="E26" s="41"/>
      <c r="F26" s="41"/>
      <c r="G26" s="41"/>
      <c r="H26" s="38">
        <f ca="1">S(636)</f>
        <v>648000</v>
      </c>
      <c r="I26" s="3"/>
      <c r="J26" s="3"/>
      <c r="K26" s="3"/>
      <c r="L26" s="3"/>
    </row>
    <row r="27" s="2" customFormat="1" ht="12.75">
      <c r="A27" s="41" t="s">
        <v>170</v>
      </c>
      <c r="B27" s="41"/>
      <c r="C27" s="41"/>
      <c r="D27" s="41"/>
      <c r="E27" s="41"/>
      <c r="F27" s="41"/>
      <c r="G27" s="41"/>
      <c r="H27" s="38"/>
      <c r="I27" s="3"/>
      <c r="J27" s="3"/>
      <c r="K27" s="3"/>
      <c r="L27" s="3"/>
    </row>
    <row r="28" s="2" customFormat="1" ht="12.75">
      <c r="A28" s="41" t="s">
        <v>171</v>
      </c>
      <c r="B28" s="41"/>
      <c r="C28" s="41"/>
      <c r="D28" s="41"/>
      <c r="E28" s="41"/>
      <c r="F28" s="41"/>
      <c r="G28" s="41"/>
      <c r="H28" s="38"/>
      <c r="I28" s="3"/>
      <c r="J28" s="3"/>
      <c r="K28" s="3"/>
      <c r="L28" s="3"/>
    </row>
    <row r="29" s="2" customFormat="1" ht="12.75">
      <c r="A29" s="68" t="s">
        <v>172</v>
      </c>
      <c r="B29" s="68"/>
      <c r="C29" s="68"/>
      <c r="D29" s="68"/>
      <c r="E29" s="68"/>
      <c r="F29" s="68"/>
      <c r="G29" s="68"/>
      <c r="H29" s="38">
        <f ca="1">SUM(H23:H28)</f>
        <v>3853089.9099999997</v>
      </c>
      <c r="I29" s="3"/>
      <c r="J29" s="3"/>
      <c r="K29" s="3"/>
      <c r="L29" s="3"/>
    </row>
    <row r="30" s="2" customFormat="1" ht="12.75">
      <c r="A30" s="138" t="s">
        <v>173</v>
      </c>
      <c r="B30" s="138"/>
      <c r="C30" s="138"/>
      <c r="D30" s="138"/>
      <c r="E30" s="138"/>
      <c r="F30" s="138"/>
      <c r="G30" s="138"/>
      <c r="H30" s="140"/>
      <c r="I30" s="3"/>
      <c r="J30" s="3"/>
      <c r="K30" s="3"/>
      <c r="L30" s="3"/>
    </row>
    <row r="31" s="2" customFormat="1" ht="12.75">
      <c r="A31" s="41" t="s">
        <v>174</v>
      </c>
      <c r="B31" s="41"/>
      <c r="C31" s="41"/>
      <c r="D31" s="41"/>
      <c r="E31" s="41"/>
      <c r="F31" s="41"/>
      <c r="G31" s="41"/>
      <c r="H31" s="38"/>
      <c r="I31" s="3"/>
      <c r="J31" s="3"/>
      <c r="K31" s="3"/>
      <c r="L31" s="3"/>
    </row>
    <row r="32" s="2" customFormat="1" ht="12.75">
      <c r="A32" s="41" t="s">
        <v>175</v>
      </c>
      <c r="B32" s="41"/>
      <c r="C32" s="41"/>
      <c r="D32" s="41"/>
      <c r="E32" s="41"/>
      <c r="F32" s="41"/>
      <c r="G32" s="41"/>
      <c r="H32" s="38">
        <f ca="1">S(642)</f>
        <v>703580</v>
      </c>
      <c r="I32" s="3"/>
      <c r="J32" s="3"/>
      <c r="K32" s="3"/>
      <c r="L32" s="3"/>
    </row>
    <row r="33" s="2" customFormat="1" ht="12.75">
      <c r="A33" s="41" t="s">
        <v>176</v>
      </c>
      <c r="B33" s="41"/>
      <c r="C33" s="41"/>
      <c r="D33" s="41"/>
      <c r="E33" s="41"/>
      <c r="F33" s="41"/>
      <c r="G33" s="41"/>
      <c r="H33" s="38">
        <f ca="1">S(645)</f>
        <v>0</v>
      </c>
      <c r="I33" s="3"/>
      <c r="J33" s="3"/>
      <c r="K33" s="3"/>
      <c r="L33" s="3"/>
    </row>
    <row r="34" s="2" customFormat="1" ht="12.75">
      <c r="A34" s="68" t="s">
        <v>177</v>
      </c>
      <c r="B34" s="68"/>
      <c r="C34" s="68"/>
      <c r="D34" s="68"/>
      <c r="E34" s="68"/>
      <c r="F34" s="68"/>
      <c r="G34" s="68"/>
      <c r="H34" s="38">
        <f ca="1">SUM(H31:H33)</f>
        <v>703580</v>
      </c>
      <c r="I34" s="3"/>
      <c r="J34" s="3"/>
      <c r="K34" s="3"/>
      <c r="L34" s="3"/>
    </row>
    <row r="35" s="2" customFormat="1" ht="12.75">
      <c r="A35" s="68" t="s">
        <v>178</v>
      </c>
      <c r="B35" s="68"/>
      <c r="C35" s="68"/>
      <c r="D35" s="68"/>
      <c r="E35" s="68"/>
      <c r="F35" s="68"/>
      <c r="G35" s="68"/>
      <c r="H35" s="38">
        <f ca="1">H21+H29+H34</f>
        <v>4712793.6099999994</v>
      </c>
      <c r="I35" s="3"/>
      <c r="J35" s="3"/>
      <c r="K35" s="3"/>
      <c r="L35" s="3"/>
    </row>
    <row r="36" ht="6" customHeight="1">
      <c r="H36" s="141"/>
    </row>
    <row r="37" s="2" customFormat="1" ht="12.75">
      <c r="A37" s="142" t="s">
        <v>179</v>
      </c>
      <c r="B37" s="142"/>
      <c r="C37" s="142"/>
      <c r="D37" s="142"/>
      <c r="E37" s="142"/>
      <c r="H37" s="141"/>
      <c r="I37" s="3"/>
      <c r="J37" s="3"/>
      <c r="K37" s="3"/>
      <c r="L37" s="3"/>
    </row>
    <row r="38" s="2" customFormat="1" ht="6" customHeight="1">
      <c r="A38" s="3"/>
      <c r="B38" s="3"/>
      <c r="C38" s="3"/>
      <c r="H38" s="141"/>
      <c r="I38" s="3"/>
      <c r="J38" s="3"/>
      <c r="K38" s="3"/>
      <c r="L38" s="3"/>
    </row>
    <row r="39" s="2" customFormat="1" ht="12.75">
      <c r="A39" s="138" t="s">
        <v>122</v>
      </c>
      <c r="B39" s="138"/>
      <c r="C39" s="138"/>
      <c r="D39" s="138"/>
      <c r="E39" s="138"/>
      <c r="F39" s="138"/>
      <c r="G39" s="138"/>
      <c r="H39" s="143" t="s">
        <v>8</v>
      </c>
      <c r="I39" s="3"/>
      <c r="J39" s="3"/>
      <c r="K39" s="3"/>
      <c r="L39" s="3"/>
    </row>
    <row r="40" s="2" customFormat="1" ht="12.75">
      <c r="A40" s="41" t="s">
        <v>180</v>
      </c>
      <c r="B40" s="41"/>
      <c r="C40" s="41"/>
      <c r="D40" s="41"/>
      <c r="E40" s="41"/>
      <c r="F40" s="41"/>
      <c r="G40" s="41"/>
      <c r="H40" s="144"/>
      <c r="I40" s="3"/>
      <c r="J40" s="3"/>
      <c r="K40" s="3"/>
      <c r="L40" s="3"/>
    </row>
    <row r="41" s="2" customFormat="1" ht="12.75">
      <c r="A41" s="41" t="s">
        <v>181</v>
      </c>
      <c r="B41" s="41"/>
      <c r="C41" s="41"/>
      <c r="D41" s="41"/>
      <c r="E41" s="41"/>
      <c r="F41" s="41"/>
      <c r="G41" s="41"/>
      <c r="H41" s="144"/>
      <c r="I41" s="3"/>
      <c r="J41" s="3"/>
      <c r="K41" s="3"/>
      <c r="L41" s="3"/>
    </row>
    <row r="42" s="2" customFormat="1" ht="12.75">
      <c r="A42" s="41" t="s">
        <v>182</v>
      </c>
      <c r="B42" s="41"/>
      <c r="C42" s="41"/>
      <c r="D42" s="41"/>
      <c r="E42" s="41"/>
      <c r="F42" s="41"/>
      <c r="G42" s="41"/>
      <c r="H42" s="144"/>
      <c r="I42" s="3"/>
      <c r="J42" s="3"/>
      <c r="K42" s="3"/>
      <c r="L42" s="3"/>
    </row>
    <row r="43" s="2" customFormat="1" ht="12.75">
      <c r="A43" s="41" t="s">
        <v>183</v>
      </c>
      <c r="B43" s="41"/>
      <c r="C43" s="41"/>
      <c r="D43" s="41"/>
      <c r="E43" s="41"/>
      <c r="F43" s="41"/>
      <c r="G43" s="41"/>
      <c r="H43" s="144"/>
      <c r="I43" s="3"/>
      <c r="J43" s="3"/>
      <c r="K43" s="3"/>
      <c r="L43" s="3"/>
    </row>
    <row r="44" s="2" customFormat="1" ht="12.75">
      <c r="A44" s="41" t="s">
        <v>184</v>
      </c>
      <c r="B44" s="41"/>
      <c r="C44" s="41"/>
      <c r="D44" s="41"/>
      <c r="E44" s="41"/>
      <c r="F44" s="41"/>
      <c r="G44" s="41"/>
      <c r="H44" s="144"/>
      <c r="I44" s="3"/>
      <c r="J44" s="3"/>
      <c r="K44" s="3"/>
      <c r="L44" s="3"/>
    </row>
    <row r="45" s="2" customFormat="1" ht="12.75">
      <c r="A45" s="41" t="s">
        <v>185</v>
      </c>
      <c r="B45" s="41"/>
      <c r="C45" s="41"/>
      <c r="D45" s="41"/>
      <c r="E45" s="41"/>
      <c r="F45" s="41"/>
      <c r="G45" s="41"/>
      <c r="H45" s="144"/>
      <c r="I45" s="3"/>
      <c r="J45" s="3"/>
      <c r="K45" s="3"/>
      <c r="L45" s="3"/>
    </row>
    <row r="46" s="2" customFormat="1" ht="12.75">
      <c r="A46" s="41" t="s">
        <v>186</v>
      </c>
      <c r="B46" s="41"/>
      <c r="C46" s="41"/>
      <c r="D46" s="41"/>
      <c r="E46" s="41"/>
      <c r="F46" s="41"/>
      <c r="G46" s="41"/>
      <c r="H46" s="144">
        <f ca="1">S(657)</f>
        <v>0</v>
      </c>
      <c r="I46" s="3"/>
      <c r="J46" s="3"/>
      <c r="K46" s="3"/>
      <c r="L46" s="3"/>
    </row>
    <row r="47" s="2" customFormat="1" ht="12.75">
      <c r="A47" s="41" t="s">
        <v>187</v>
      </c>
      <c r="B47" s="41"/>
      <c r="C47" s="41"/>
      <c r="D47" s="41"/>
      <c r="E47" s="41"/>
      <c r="F47" s="41"/>
      <c r="G47" s="41"/>
      <c r="H47" s="144">
        <f ca="1">S(658)</f>
        <v>0</v>
      </c>
      <c r="I47" s="3"/>
      <c r="J47" s="3"/>
      <c r="K47" s="3"/>
      <c r="L47" s="3"/>
    </row>
    <row r="48" s="2" customFormat="1" ht="12.75">
      <c r="A48" s="68" t="s">
        <v>153</v>
      </c>
      <c r="B48" s="68"/>
      <c r="C48" s="68"/>
      <c r="D48" s="68"/>
      <c r="E48" s="68"/>
      <c r="F48" s="68"/>
      <c r="G48" s="68"/>
      <c r="H48" s="144">
        <f ca="1">SUM(H40:H47)</f>
        <v>0</v>
      </c>
      <c r="I48" s="3"/>
      <c r="J48" s="3"/>
      <c r="K48" s="3"/>
      <c r="L48" s="3"/>
    </row>
    <row r="49" s="2" customFormat="1" ht="12.75">
      <c r="A49" s="138" t="s">
        <v>121</v>
      </c>
      <c r="B49" s="138"/>
      <c r="C49" s="138"/>
      <c r="D49" s="138"/>
      <c r="E49" s="138"/>
      <c r="F49" s="138"/>
      <c r="G49" s="138"/>
      <c r="H49" s="143" t="s">
        <v>8</v>
      </c>
      <c r="I49" s="3"/>
      <c r="J49" s="3"/>
      <c r="K49" s="3"/>
      <c r="L49" s="3"/>
    </row>
    <row r="50" s="2" customFormat="1" ht="12.75">
      <c r="A50" s="41" t="s">
        <v>180</v>
      </c>
      <c r="B50" s="41"/>
      <c r="C50" s="41"/>
      <c r="D50" s="41"/>
      <c r="E50" s="41"/>
      <c r="F50" s="41"/>
      <c r="G50" s="41"/>
      <c r="H50" s="144"/>
      <c r="I50" s="3"/>
      <c r="J50" s="3"/>
      <c r="K50" s="3"/>
      <c r="L50" s="3"/>
    </row>
    <row r="51" s="2" customFormat="1" ht="12.75">
      <c r="A51" s="41" t="s">
        <v>188</v>
      </c>
      <c r="B51" s="41"/>
      <c r="C51" s="41"/>
      <c r="D51" s="41"/>
      <c r="E51" s="41"/>
      <c r="F51" s="41"/>
      <c r="G51" s="41"/>
      <c r="H51" s="144" t="s">
        <v>18</v>
      </c>
      <c r="I51" s="3"/>
      <c r="J51" s="3"/>
      <c r="K51" s="3"/>
      <c r="L51" s="3"/>
    </row>
    <row r="52" s="2" customFormat="1" ht="12.75">
      <c r="A52" s="41" t="s">
        <v>189</v>
      </c>
      <c r="B52" s="41"/>
      <c r="C52" s="41"/>
      <c r="D52" s="41"/>
      <c r="E52" s="41"/>
      <c r="F52" s="41"/>
      <c r="G52" s="41"/>
      <c r="H52" s="144"/>
      <c r="I52" s="3"/>
      <c r="J52" s="3"/>
      <c r="K52" s="3"/>
      <c r="L52" s="3"/>
    </row>
    <row r="53" s="2" customFormat="1" ht="12.75">
      <c r="A53" s="41" t="s">
        <v>190</v>
      </c>
      <c r="B53" s="41"/>
      <c r="C53" s="41"/>
      <c r="D53" s="41"/>
      <c r="E53" s="41"/>
      <c r="F53" s="41"/>
      <c r="G53" s="41"/>
      <c r="H53" s="144"/>
      <c r="I53" s="3"/>
      <c r="J53" s="3"/>
      <c r="K53" s="3"/>
      <c r="L53" s="3"/>
    </row>
    <row r="54" s="2" customFormat="1" ht="12.75">
      <c r="A54" s="41" t="s">
        <v>184</v>
      </c>
      <c r="B54" s="41"/>
      <c r="C54" s="41"/>
      <c r="D54" s="41"/>
      <c r="E54" s="41"/>
      <c r="F54" s="41"/>
      <c r="G54" s="41"/>
      <c r="H54" s="144"/>
      <c r="I54" s="3"/>
      <c r="J54" s="3"/>
      <c r="K54" s="3"/>
      <c r="L54" s="3"/>
    </row>
    <row r="55" s="2" customFormat="1" ht="12.75">
      <c r="A55" s="41" t="s">
        <v>191</v>
      </c>
      <c r="B55" s="41"/>
      <c r="C55" s="41"/>
      <c r="D55" s="41"/>
      <c r="E55" s="41"/>
      <c r="F55" s="41"/>
      <c r="G55" s="41"/>
      <c r="H55" s="144"/>
      <c r="I55" s="3"/>
      <c r="J55" s="3"/>
      <c r="K55" s="3"/>
      <c r="L55" s="3"/>
    </row>
    <row r="56" s="2" customFormat="1" ht="12.75">
      <c r="A56" s="41" t="s">
        <v>192</v>
      </c>
      <c r="B56" s="41"/>
      <c r="C56" s="41"/>
      <c r="D56" s="41"/>
      <c r="E56" s="41"/>
      <c r="F56" s="41"/>
      <c r="G56" s="41"/>
      <c r="H56" s="144">
        <f ca="1">S(75)</f>
        <v>0</v>
      </c>
      <c r="I56" s="3"/>
      <c r="J56" s="3"/>
      <c r="K56" s="3"/>
      <c r="L56" s="3"/>
    </row>
    <row r="57" s="2" customFormat="1" ht="12.75">
      <c r="A57" s="41" t="s">
        <v>193</v>
      </c>
      <c r="B57" s="41"/>
      <c r="C57" s="41"/>
      <c r="D57" s="41"/>
      <c r="E57" s="41"/>
      <c r="F57" s="41"/>
      <c r="G57" s="41"/>
      <c r="H57" s="144"/>
      <c r="I57" s="3"/>
      <c r="J57" s="3"/>
      <c r="K57" s="3"/>
      <c r="L57" s="3"/>
    </row>
    <row r="58" s="2" customFormat="1" ht="12.75">
      <c r="A58" s="68" t="s">
        <v>153</v>
      </c>
      <c r="B58" s="68"/>
      <c r="C58" s="68"/>
      <c r="D58" s="68"/>
      <c r="E58" s="68"/>
      <c r="F58" s="68"/>
      <c r="G58" s="68"/>
      <c r="H58" s="144">
        <f ca="1">SUM(H50:H57)</f>
        <v>0</v>
      </c>
      <c r="I58" s="3"/>
      <c r="J58" s="3"/>
      <c r="K58" s="3"/>
      <c r="L58" s="3"/>
    </row>
  </sheetData>
  <mergeCells count="51">
    <mergeCell ref="A37:E37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F1:G1"/>
    <mergeCell ref="A1:D1"/>
    <mergeCell ref="E5:G5"/>
    <mergeCell ref="E6:G6"/>
    <mergeCell ref="E7:G7"/>
    <mergeCell ref="A10:G10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</mergeCells>
  <pageMargins left="0.7" right="0.7" top="0.75" bottom="0.75" header="0.5118055" footer="0.5118055"/>
  <pageSetup paperSize="9" orientation="portrait" horizontalDpi="300" verticalDpi="300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E6" sqref="E6:H6"/>
    </sheetView>
  </sheetViews>
  <sheetFormatPr defaultColWidth="11.42188" defaultRowHeight="15"/>
  <cols>
    <col min="1" max="1" width="8.003906" style="3" customWidth="1"/>
    <col min="2" max="2" width="3.140625" style="3" customWidth="1"/>
    <col min="3" max="3" width="7.003906" style="3" customWidth="1"/>
    <col min="4" max="4" width="14.28125" style="2" customWidth="1"/>
    <col min="5" max="5" width="11.14063" style="2" customWidth="1"/>
    <col min="6" max="6" width="11.71094" style="2" customWidth="1"/>
    <col min="7" max="7" width="10.85156" style="2" customWidth="1"/>
    <col min="8" max="8" width="10.42188" style="3" customWidth="1"/>
    <col min="9" max="9" width="10.85156" style="3" customWidth="1"/>
    <col min="10" max="257" width="11.42188" style="3"/>
  </cols>
  <sheetData>
    <row r="1" ht="12.75">
      <c r="A1" s="4" t="s">
        <v>0</v>
      </c>
      <c r="B1" s="4"/>
      <c r="C1" s="4"/>
      <c r="D1" s="4"/>
      <c r="E1" s="68" t="s">
        <v>1</v>
      </c>
      <c r="F1" s="7" t="str">
        <f ca="1">NIF()</f>
        <v>195847070002536</v>
      </c>
      <c r="G1" s="7"/>
    </row>
    <row r="2" ht="8.1" customHeight="1">
      <c r="A2" s="5"/>
      <c r="B2" s="5"/>
      <c r="C2" s="5"/>
      <c r="D2" s="5"/>
      <c r="E2" s="5"/>
    </row>
    <row r="3" ht="8.1" customHeight="1"/>
    <row r="4" ht="15">
      <c r="A4" s="56" t="s">
        <v>71</v>
      </c>
      <c r="B4" s="71"/>
      <c r="C4" s="72"/>
      <c r="D4" s="72"/>
      <c r="E4" s="125" t="str">
        <f ca="1">Client()</f>
        <v>BAROUD DJELLOUL E.T.E.H.B.</v>
      </c>
      <c r="F4" s="125"/>
      <c r="G4" s="125"/>
      <c r="H4" s="125"/>
      <c r="I4" s="75"/>
    </row>
    <row r="5" ht="15">
      <c r="A5" s="58" t="s">
        <v>72</v>
      </c>
      <c r="B5" s="76"/>
      <c r="C5" s="77"/>
      <c r="D5" s="77"/>
      <c r="E5" s="127" t="str">
        <f ca="1">ACT()</f>
        <v>BP 377; BENI-ISGUEN.BOUNOURA.</v>
      </c>
      <c r="F5" s="127"/>
      <c r="G5" s="127"/>
      <c r="H5" s="127"/>
      <c r="I5" s="80"/>
    </row>
    <row r="6" ht="15">
      <c r="A6" s="60" t="s">
        <v>73</v>
      </c>
      <c r="B6" s="81"/>
      <c r="C6" s="82"/>
      <c r="D6" s="82"/>
      <c r="E6" s="129" t="str">
        <f ca="1">ADRS()</f>
        <v/>
      </c>
      <c r="F6" s="129"/>
      <c r="G6" s="129"/>
      <c r="H6" s="129"/>
      <c r="I6" s="86"/>
    </row>
    <row r="7" ht="8.1" customHeight="1">
      <c r="A7" s="17"/>
      <c r="D7" s="18"/>
      <c r="E7" s="18"/>
    </row>
    <row r="8" ht="15">
      <c r="D8" s="114" t="s">
        <v>74</v>
      </c>
      <c r="E8" s="20">
        <f ca="1">DATE(Exercice(),"01","01")</f>
        <v>43466</v>
      </c>
      <c r="F8" s="20" t="s">
        <v>75</v>
      </c>
      <c r="G8" s="20">
        <f ca="1">DATE(Exercice(),"12","31")</f>
        <v>43830</v>
      </c>
    </row>
    <row r="11" ht="21.75" customHeight="1">
      <c r="A11" s="145" t="s">
        <v>194</v>
      </c>
      <c r="B11" s="145"/>
      <c r="C11" s="145"/>
      <c r="D11" s="145"/>
      <c r="E11" s="145"/>
    </row>
    <row r="13" s="2" customFormat="1" ht="15">
      <c r="A13" s="146"/>
      <c r="B13" s="146"/>
      <c r="C13" s="146"/>
      <c r="D13" s="147" t="s">
        <v>195</v>
      </c>
      <c r="E13" s="147" t="s">
        <v>196</v>
      </c>
      <c r="F13" s="146"/>
      <c r="G13" s="147" t="s">
        <v>195</v>
      </c>
      <c r="H13" s="147" t="s">
        <v>195</v>
      </c>
      <c r="I13" s="146"/>
    </row>
    <row r="14" s="2" customFormat="1" ht="12.75">
      <c r="A14" s="148" t="s">
        <v>197</v>
      </c>
      <c r="B14" s="148"/>
      <c r="C14" s="148"/>
      <c r="D14" s="147"/>
      <c r="E14" s="147"/>
      <c r="F14" s="148" t="s">
        <v>198</v>
      </c>
      <c r="G14" s="147"/>
      <c r="H14" s="147"/>
      <c r="I14" s="148" t="s">
        <v>199</v>
      </c>
    </row>
    <row r="15" s="2" customFormat="1" ht="12.75" customHeight="1">
      <c r="A15" s="148"/>
      <c r="B15" s="148"/>
      <c r="C15" s="148"/>
      <c r="D15" s="148" t="s">
        <v>200</v>
      </c>
      <c r="E15" s="148" t="s">
        <v>201</v>
      </c>
      <c r="F15" s="148"/>
      <c r="G15" s="149" t="s">
        <v>202</v>
      </c>
      <c r="H15" s="148" t="s">
        <v>203</v>
      </c>
      <c r="I15" s="148"/>
    </row>
    <row r="16" s="2" customFormat="1" ht="12.75" customHeight="1">
      <c r="A16" s="148" t="s">
        <v>204</v>
      </c>
      <c r="B16" s="148"/>
      <c r="C16" s="148"/>
      <c r="D16" s="148"/>
      <c r="E16" s="148"/>
      <c r="F16" s="150" t="s">
        <v>205</v>
      </c>
      <c r="G16" s="149"/>
      <c r="H16" s="148"/>
      <c r="I16" s="148" t="s">
        <v>206</v>
      </c>
    </row>
    <row r="17" s="2" customFormat="1" ht="12.75">
      <c r="A17" s="148"/>
      <c r="B17" s="148"/>
      <c r="C17" s="148"/>
      <c r="D17" s="151" t="s">
        <v>207</v>
      </c>
      <c r="E17" s="151" t="s">
        <v>208</v>
      </c>
      <c r="F17" s="150"/>
      <c r="G17" s="151" t="s">
        <v>209</v>
      </c>
      <c r="H17" s="151" t="s">
        <v>210</v>
      </c>
      <c r="I17" s="148"/>
    </row>
    <row r="18" s="2" customFormat="1" ht="15.75">
      <c r="A18" s="152"/>
      <c r="B18" s="152"/>
      <c r="C18" s="152"/>
      <c r="D18" s="151"/>
      <c r="E18" s="151"/>
      <c r="F18" s="150"/>
      <c r="G18" s="151"/>
      <c r="H18" s="151"/>
      <c r="I18" s="152"/>
    </row>
    <row r="19" ht="30" customHeight="1">
      <c r="A19" s="153" t="s">
        <v>211</v>
      </c>
      <c r="B19" s="153"/>
      <c r="C19" s="153"/>
      <c r="D19" s="154"/>
      <c r="E19" s="154"/>
      <c r="F19" s="154"/>
      <c r="G19" s="154"/>
      <c r="H19" s="154"/>
      <c r="I19" s="154"/>
    </row>
    <row r="20" ht="30" customHeight="1">
      <c r="A20" s="153" t="s">
        <v>16</v>
      </c>
      <c r="B20" s="153"/>
      <c r="C20" s="153"/>
      <c r="D20" s="155"/>
      <c r="E20" s="155"/>
      <c r="F20" s="155"/>
      <c r="G20" s="154"/>
      <c r="H20" s="155"/>
      <c r="I20" s="154"/>
    </row>
    <row r="21" ht="30" customHeight="1">
      <c r="A21" s="153" t="s">
        <v>17</v>
      </c>
      <c r="B21" s="153"/>
      <c r="C21" s="153"/>
      <c r="D21" s="155">
        <f ca="1">SP(28)</f>
        <v>29680368.629999999</v>
      </c>
      <c r="E21" s="155">
        <f ca="1">MC(28)</f>
        <v>6347879.8700000001</v>
      </c>
      <c r="F21" s="155"/>
      <c r="G21" s="154">
        <f ca="1">S(281)</f>
        <v>34354552.950000003</v>
      </c>
      <c r="H21" s="155"/>
      <c r="I21" s="154"/>
    </row>
    <row r="22" ht="30" customHeight="1">
      <c r="A22" s="153" t="s">
        <v>212</v>
      </c>
      <c r="B22" s="153"/>
      <c r="C22" s="153"/>
      <c r="D22" s="154"/>
      <c r="E22" s="154"/>
      <c r="F22" s="154"/>
      <c r="G22" s="154" t="s">
        <v>18</v>
      </c>
      <c r="H22" s="154"/>
      <c r="I22" s="154"/>
    </row>
    <row r="23" ht="38.25" customHeight="1">
      <c r="A23" s="153" t="s">
        <v>213</v>
      </c>
      <c r="B23" s="153"/>
      <c r="C23" s="153"/>
      <c r="D23" s="155"/>
      <c r="E23" s="155"/>
      <c r="F23" s="155"/>
      <c r="G23" s="154"/>
      <c r="H23" s="155"/>
      <c r="I23" s="154"/>
    </row>
    <row r="24" ht="30" customHeight="1">
      <c r="A24" s="156" t="s">
        <v>153</v>
      </c>
      <c r="B24" s="156"/>
      <c r="C24" s="156"/>
      <c r="D24" s="154">
        <f ca="1">SUM(D19:D23)</f>
        <v>29680368.629999999</v>
      </c>
      <c r="E24" s="154">
        <f ca="1">SUM(E19:E23)</f>
        <v>6347879.8700000001</v>
      </c>
      <c r="F24" s="154"/>
      <c r="G24" s="154">
        <f ca="1">SUM(G19:G23)</f>
        <v>34354552.950000003</v>
      </c>
      <c r="H24" s="154"/>
      <c r="I24" s="154"/>
    </row>
    <row r="26" ht="20.25" customHeight="1">
      <c r="A26" s="46" t="s">
        <v>214</v>
      </c>
      <c r="B26" s="46"/>
      <c r="C26" s="46"/>
      <c r="D26" s="46"/>
      <c r="E26" s="46"/>
      <c r="F26" s="46"/>
      <c r="G26" s="46"/>
    </row>
    <row r="28" ht="12.75" customHeight="1">
      <c r="A28" s="157"/>
      <c r="B28" s="158"/>
      <c r="C28" s="158"/>
      <c r="D28" s="159" t="s">
        <v>215</v>
      </c>
      <c r="E28" s="160"/>
      <c r="F28" s="146"/>
      <c r="G28" s="146"/>
      <c r="H28" s="161"/>
    </row>
    <row r="29" ht="36">
      <c r="A29" s="148" t="s">
        <v>216</v>
      </c>
      <c r="B29" s="148"/>
      <c r="C29" s="148"/>
      <c r="D29" s="148"/>
      <c r="E29" s="148"/>
      <c r="F29" s="148" t="s">
        <v>217</v>
      </c>
      <c r="G29" s="148" t="s">
        <v>218</v>
      </c>
      <c r="H29" s="149" t="s">
        <v>219</v>
      </c>
    </row>
    <row r="30" ht="13.5">
      <c r="A30" s="151" t="s">
        <v>220</v>
      </c>
      <c r="B30" s="151"/>
      <c r="C30" s="151"/>
      <c r="D30" s="151"/>
      <c r="E30" s="151"/>
      <c r="F30" s="152"/>
      <c r="G30" s="152"/>
      <c r="H30" s="162"/>
    </row>
    <row r="31" ht="20.1" customHeight="1">
      <c r="A31" s="163" t="s">
        <v>211</v>
      </c>
      <c r="B31" s="163"/>
      <c r="C31" s="163"/>
      <c r="D31" s="163"/>
      <c r="E31" s="163"/>
      <c r="F31" s="154"/>
      <c r="G31" s="154"/>
      <c r="H31" s="154" t="s">
        <v>18</v>
      </c>
    </row>
    <row r="32" ht="20.1" customHeight="1">
      <c r="A32" s="163" t="s">
        <v>16</v>
      </c>
      <c r="B32" s="163"/>
      <c r="C32" s="163"/>
      <c r="D32" s="163"/>
      <c r="E32" s="163"/>
      <c r="F32" s="154"/>
      <c r="G32" s="154"/>
      <c r="H32" s="154"/>
    </row>
    <row r="33" ht="20.1" customHeight="1">
      <c r="A33" s="163" t="s">
        <v>17</v>
      </c>
      <c r="B33" s="163"/>
      <c r="C33" s="163"/>
      <c r="D33" s="163"/>
      <c r="E33" s="163"/>
      <c r="F33" s="154">
        <f ca="1">MC(404)</f>
        <v>11963192</v>
      </c>
      <c r="G33" s="154">
        <f ca="1">MD(44519)</f>
        <v>0</v>
      </c>
      <c r="H33" s="154">
        <f ca="1">SUM(F33)-(G33)</f>
        <v>11963192</v>
      </c>
    </row>
    <row r="34" ht="20.1" customHeight="1">
      <c r="A34" s="163" t="s">
        <v>212</v>
      </c>
      <c r="B34" s="163"/>
      <c r="C34" s="163"/>
      <c r="D34" s="163"/>
      <c r="E34" s="163"/>
      <c r="F34" s="154"/>
      <c r="G34" s="154"/>
      <c r="H34" s="154"/>
    </row>
    <row r="35" ht="20.1" customHeight="1">
      <c r="A35" s="164" t="s">
        <v>213</v>
      </c>
      <c r="B35" s="164"/>
      <c r="C35" s="164"/>
      <c r="D35" s="164"/>
      <c r="E35" s="164"/>
      <c r="F35" s="154"/>
      <c r="G35" s="154"/>
      <c r="H35" s="154"/>
    </row>
    <row r="36" ht="20.1" customHeight="1">
      <c r="A36" s="156" t="s">
        <v>153</v>
      </c>
      <c r="B36" s="156"/>
      <c r="C36" s="156"/>
      <c r="D36" s="156"/>
      <c r="E36" s="156"/>
      <c r="F36" s="154">
        <f ca="1">SUM(F31:F35)</f>
        <v>11963192</v>
      </c>
      <c r="G36" s="154">
        <f ca="1">SUM(G31:G35)</f>
        <v>0</v>
      </c>
      <c r="H36" s="154">
        <f>SUM(H31:H35)</f>
        <v>11963192</v>
      </c>
    </row>
  </sheetData>
  <mergeCells count="41">
    <mergeCell ref="A1:D1"/>
    <mergeCell ref="F1:G1"/>
    <mergeCell ref="E4:H4"/>
    <mergeCell ref="E5:H5"/>
    <mergeCell ref="E6:H6"/>
    <mergeCell ref="A11:E11"/>
    <mergeCell ref="A13:C13"/>
    <mergeCell ref="D13:D14"/>
    <mergeCell ref="E13:E14"/>
    <mergeCell ref="G13:G14"/>
    <mergeCell ref="H13:H14"/>
    <mergeCell ref="A14:C15"/>
    <mergeCell ref="F14:F15"/>
    <mergeCell ref="I14:I15"/>
    <mergeCell ref="D15:D16"/>
    <mergeCell ref="E15:E16"/>
    <mergeCell ref="G15:G16"/>
    <mergeCell ref="H15:H16"/>
    <mergeCell ref="A16:C17"/>
    <mergeCell ref="F16:F18"/>
    <mergeCell ref="I16:I17"/>
    <mergeCell ref="D17:D18"/>
    <mergeCell ref="E17:E18"/>
    <mergeCell ref="G17:G18"/>
    <mergeCell ref="H17:H18"/>
    <mergeCell ref="A18:C18"/>
    <mergeCell ref="A19:C19"/>
    <mergeCell ref="A20:C20"/>
    <mergeCell ref="A21:C21"/>
    <mergeCell ref="A22:C22"/>
    <mergeCell ref="A23:C23"/>
    <mergeCell ref="A24:C24"/>
    <mergeCell ref="A26:G26"/>
    <mergeCell ref="A29:E29"/>
    <mergeCell ref="A30:E30"/>
    <mergeCell ref="A31:E31"/>
    <mergeCell ref="A32:E32"/>
    <mergeCell ref="A33:E33"/>
    <mergeCell ref="A34:E34"/>
    <mergeCell ref="A35:E35"/>
    <mergeCell ref="A36:E36"/>
  </mergeCells>
  <pageMargins left="0.7" right="0.7" top="0.75" bottom="0.75" header="0.5118055" footer="0.5118055"/>
  <pageSetup paperSize="9" orientation="portrait" horizontalDpi="300" verticalDpi="300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E6" sqref="E6:H6"/>
    </sheetView>
  </sheetViews>
  <sheetFormatPr defaultColWidth="11.42188" defaultRowHeight="15"/>
  <cols>
    <col min="1" max="1" width="7.003906" style="3" customWidth="1"/>
    <col min="2" max="2" width="3.140625" style="3" customWidth="1"/>
    <col min="3" max="3" width="6.851563" style="3" customWidth="1"/>
    <col min="4" max="4" width="9.574219" style="2" customWidth="1"/>
    <col min="5" max="5" width="13.00391" style="2" customWidth="1"/>
    <col min="6" max="6" width="9.710938" style="2" customWidth="1"/>
    <col min="7" max="7" width="11.28125" style="2" customWidth="1"/>
    <col min="8" max="8" width="8.003906" style="3" customWidth="1"/>
    <col min="9" max="9" width="8.710938" style="3" customWidth="1"/>
    <col min="10" max="10" width="9.851563" style="3" customWidth="1"/>
    <col min="11" max="257" width="11.42188" style="3"/>
  </cols>
  <sheetData>
    <row r="1" ht="12.75">
      <c r="A1" s="37" t="s">
        <v>0</v>
      </c>
      <c r="B1" s="37"/>
      <c r="C1" s="37"/>
      <c r="D1" s="37"/>
      <c r="E1" s="37"/>
      <c r="F1" s="68" t="s">
        <v>1</v>
      </c>
      <c r="G1" s="7" t="str">
        <f ca="1">NIF()</f>
        <v>195847070002536</v>
      </c>
      <c r="H1" s="7"/>
    </row>
    <row r="2" ht="8.1" customHeight="1">
      <c r="A2" s="5"/>
      <c r="B2" s="5"/>
      <c r="C2" s="5"/>
      <c r="D2" s="5"/>
      <c r="E2" s="5"/>
    </row>
    <row r="3" ht="8.1" customHeight="1"/>
    <row r="4" ht="15">
      <c r="A4" s="56" t="s">
        <v>114</v>
      </c>
      <c r="B4" s="71"/>
      <c r="C4" s="72"/>
      <c r="D4" s="72"/>
      <c r="E4" s="125" t="str">
        <f ca="1">Client()</f>
        <v>BAROUD DJELLOUL E.T.E.H.B.</v>
      </c>
      <c r="F4" s="125"/>
      <c r="G4" s="125"/>
      <c r="H4" s="125"/>
      <c r="I4" s="74"/>
      <c r="J4" s="75"/>
    </row>
    <row r="5" ht="15">
      <c r="A5" s="58" t="s">
        <v>115</v>
      </c>
      <c r="B5" s="76"/>
      <c r="C5" s="77"/>
      <c r="D5" s="77"/>
      <c r="E5" s="127" t="str">
        <f ca="1">ACT()</f>
        <v>BP 377; BENI-ISGUEN.BOUNOURA.</v>
      </c>
      <c r="F5" s="127"/>
      <c r="G5" s="127"/>
      <c r="H5" s="127"/>
      <c r="I5" s="17"/>
      <c r="J5" s="80"/>
    </row>
    <row r="6" ht="15">
      <c r="A6" s="60" t="s">
        <v>116</v>
      </c>
      <c r="B6" s="81"/>
      <c r="C6" s="82"/>
      <c r="D6" s="82"/>
      <c r="E6" s="129" t="str">
        <f ca="1">ADRS()</f>
        <v/>
      </c>
      <c r="F6" s="129"/>
      <c r="G6" s="129"/>
      <c r="H6" s="129"/>
      <c r="I6" s="85"/>
      <c r="J6" s="86"/>
    </row>
    <row r="7" ht="8.1" customHeight="1">
      <c r="A7" s="17"/>
      <c r="D7" s="5"/>
      <c r="E7" s="18"/>
    </row>
    <row r="8" ht="15">
      <c r="C8" s="165"/>
      <c r="D8" s="166" t="s">
        <v>74</v>
      </c>
      <c r="E8" s="20">
        <f ca="1">DATE(Exercice(),"01","01")</f>
        <v>43466</v>
      </c>
      <c r="F8" s="20" t="s">
        <v>75</v>
      </c>
      <c r="G8" s="20">
        <f ca="1">DATE(Exercice(),"12","31")</f>
        <v>43830</v>
      </c>
    </row>
    <row r="10" ht="18" customHeight="1">
      <c r="A10" s="145" t="s">
        <v>221</v>
      </c>
      <c r="B10" s="145"/>
      <c r="C10" s="145"/>
      <c r="D10" s="145"/>
      <c r="E10" s="145"/>
      <c r="F10" s="145"/>
      <c r="G10" s="145"/>
      <c r="H10" s="145"/>
    </row>
    <row r="12" s="2" customFormat="1" ht="13.5" customHeight="1">
      <c r="A12" s="167" t="s">
        <v>222</v>
      </c>
      <c r="B12" s="167"/>
      <c r="C12" s="167"/>
      <c r="D12" s="167" t="s">
        <v>223</v>
      </c>
      <c r="E12" s="167" t="s">
        <v>224</v>
      </c>
      <c r="F12" s="167" t="s">
        <v>225</v>
      </c>
      <c r="G12" s="167" t="s">
        <v>226</v>
      </c>
      <c r="H12" s="167" t="s">
        <v>227</v>
      </c>
      <c r="I12" s="167" t="s">
        <v>228</v>
      </c>
      <c r="J12" s="167"/>
    </row>
    <row r="13" s="2" customFormat="1" ht="22.5" customHeight="1">
      <c r="A13" s="167"/>
      <c r="B13" s="167"/>
      <c r="C13" s="167"/>
      <c r="D13" s="167"/>
      <c r="E13" s="167"/>
      <c r="F13" s="167"/>
      <c r="G13" s="167"/>
      <c r="H13" s="167"/>
      <c r="I13" s="167" t="s">
        <v>229</v>
      </c>
      <c r="J13" s="167" t="s">
        <v>230</v>
      </c>
    </row>
    <row r="14" ht="20.1" customHeight="1">
      <c r="A14" s="168"/>
      <c r="B14" s="168"/>
      <c r="C14" s="168"/>
      <c r="D14" s="87"/>
      <c r="E14" s="169"/>
      <c r="F14" s="169"/>
      <c r="G14" s="169"/>
      <c r="H14" s="169"/>
      <c r="I14" s="121"/>
      <c r="J14" s="168"/>
    </row>
    <row r="15" ht="20.1" customHeight="1">
      <c r="A15" s="168"/>
      <c r="B15" s="168"/>
      <c r="C15" s="168"/>
      <c r="D15" s="87"/>
      <c r="E15" s="169"/>
      <c r="F15" s="169"/>
      <c r="G15" s="170"/>
      <c r="H15" s="169"/>
      <c r="I15" s="121"/>
      <c r="J15" s="169"/>
    </row>
    <row r="16" ht="20.1" customHeight="1">
      <c r="A16" s="168"/>
      <c r="B16" s="168"/>
      <c r="C16" s="168"/>
      <c r="D16" s="87"/>
      <c r="E16" s="169"/>
      <c r="F16" s="169"/>
      <c r="G16" s="169"/>
      <c r="H16" s="169"/>
      <c r="I16" s="121"/>
      <c r="J16" s="168"/>
    </row>
    <row r="17" ht="20.1" customHeight="1">
      <c r="A17" s="168"/>
      <c r="B17" s="168"/>
      <c r="C17" s="168"/>
      <c r="D17" s="87"/>
      <c r="E17" s="171"/>
      <c r="F17" s="168"/>
      <c r="G17" s="169"/>
      <c r="H17" s="168"/>
      <c r="I17" s="172"/>
      <c r="J17" s="168"/>
    </row>
    <row r="18" ht="20.1" customHeight="1">
      <c r="A18" s="168"/>
      <c r="B18" s="168"/>
      <c r="C18" s="168"/>
      <c r="D18" s="87"/>
      <c r="E18" s="171"/>
      <c r="F18" s="168"/>
      <c r="G18" s="169"/>
      <c r="H18" s="168"/>
      <c r="I18" s="172"/>
      <c r="J18" s="168"/>
    </row>
    <row r="19" ht="20.1" customHeight="1">
      <c r="A19" s="173"/>
      <c r="B19" s="173"/>
      <c r="C19" s="173"/>
      <c r="D19" s="174"/>
      <c r="E19" s="171"/>
      <c r="F19" s="168"/>
      <c r="G19" s="169"/>
      <c r="H19" s="168"/>
      <c r="I19" s="172"/>
      <c r="J19" s="168"/>
    </row>
    <row r="20" ht="20.1" customHeight="1">
      <c r="A20" s="175"/>
      <c r="B20" s="175"/>
      <c r="C20" s="175"/>
      <c r="D20" s="176"/>
      <c r="E20" s="177">
        <f>SUM(E14:E19)</f>
        <v>0</v>
      </c>
      <c r="F20" s="168">
        <f>SUM(F14:F19)</f>
        <v>0</v>
      </c>
      <c r="G20" s="169"/>
      <c r="H20" s="172">
        <f>SUM(H14:H19)</f>
        <v>0</v>
      </c>
      <c r="I20" s="172">
        <f>SUM(I14:I19)</f>
        <v>0</v>
      </c>
      <c r="J20" s="168"/>
    </row>
    <row r="22" ht="23.25" customHeight="1">
      <c r="A22" s="142" t="s">
        <v>231</v>
      </c>
      <c r="B22" s="142"/>
      <c r="C22" s="142"/>
      <c r="D22" s="142"/>
      <c r="E22" s="142"/>
    </row>
    <row r="24" ht="48">
      <c r="A24" s="116" t="s">
        <v>232</v>
      </c>
      <c r="B24" s="116"/>
      <c r="C24" s="116"/>
      <c r="D24" s="116"/>
      <c r="E24" s="116"/>
      <c r="F24" s="116"/>
      <c r="G24" s="117" t="s">
        <v>233</v>
      </c>
      <c r="H24" s="117" t="s">
        <v>234</v>
      </c>
      <c r="I24" s="117" t="s">
        <v>235</v>
      </c>
      <c r="J24" s="117" t="s">
        <v>236</v>
      </c>
    </row>
    <row r="25" ht="30" customHeight="1">
      <c r="A25" s="178" t="s">
        <v>237</v>
      </c>
      <c r="B25" s="178"/>
      <c r="C25" s="178"/>
      <c r="D25" s="178"/>
      <c r="E25" s="178"/>
      <c r="F25" s="178"/>
      <c r="G25" s="179"/>
      <c r="H25" s="179"/>
      <c r="I25" s="179"/>
      <c r="J25" s="179"/>
    </row>
    <row r="26" ht="20.1" customHeight="1">
      <c r="A26" s="41" t="s">
        <v>238</v>
      </c>
      <c r="B26" s="41"/>
      <c r="C26" s="41"/>
      <c r="D26" s="41"/>
      <c r="E26" s="41"/>
      <c r="F26" s="41"/>
      <c r="G26" s="179"/>
      <c r="H26" s="179"/>
      <c r="I26" s="179"/>
      <c r="J26" s="179"/>
    </row>
    <row r="27" ht="20.1" customHeight="1">
      <c r="A27" s="41" t="s">
        <v>239</v>
      </c>
      <c r="B27" s="41"/>
      <c r="C27" s="41"/>
      <c r="D27" s="41"/>
      <c r="E27" s="41"/>
      <c r="F27" s="41"/>
      <c r="G27" s="179"/>
      <c r="H27" s="179"/>
      <c r="I27" s="179"/>
      <c r="J27" s="179"/>
    </row>
    <row r="28" ht="20.1" customHeight="1">
      <c r="A28" s="41" t="s">
        <v>240</v>
      </c>
      <c r="B28" s="41"/>
      <c r="C28" s="41"/>
      <c r="D28" s="41"/>
      <c r="E28" s="41"/>
      <c r="F28" s="41"/>
      <c r="G28" s="179"/>
      <c r="H28" s="179"/>
      <c r="I28" s="179"/>
      <c r="J28" s="179"/>
    </row>
    <row r="29" ht="20.1" customHeight="1">
      <c r="A29" s="41" t="s">
        <v>241</v>
      </c>
      <c r="B29" s="41"/>
      <c r="C29" s="41"/>
      <c r="D29" s="41"/>
      <c r="E29" s="41"/>
      <c r="F29" s="41"/>
      <c r="G29" s="179"/>
      <c r="H29" s="179"/>
      <c r="I29" s="179"/>
      <c r="J29" s="179"/>
    </row>
    <row r="30" ht="20.1" customHeight="1">
      <c r="A30" s="41" t="s">
        <v>242</v>
      </c>
      <c r="B30" s="41"/>
      <c r="C30" s="41"/>
      <c r="D30" s="41"/>
      <c r="E30" s="41"/>
      <c r="F30" s="41"/>
      <c r="G30" s="179"/>
      <c r="H30" s="179"/>
      <c r="I30" s="179"/>
      <c r="J30" s="179"/>
    </row>
    <row r="31" ht="20.1" customHeight="1">
      <c r="A31" s="41" t="s">
        <v>243</v>
      </c>
      <c r="B31" s="41"/>
      <c r="C31" s="41"/>
      <c r="D31" s="41"/>
      <c r="E31" s="41"/>
      <c r="F31" s="41"/>
      <c r="G31" s="179"/>
      <c r="H31" s="179"/>
      <c r="I31" s="179"/>
      <c r="J31" s="179"/>
    </row>
    <row r="32" ht="20.1" customHeight="1">
      <c r="A32" s="41" t="s">
        <v>244</v>
      </c>
      <c r="B32" s="41"/>
      <c r="C32" s="41"/>
      <c r="D32" s="41"/>
      <c r="E32" s="41"/>
      <c r="F32" s="41"/>
      <c r="G32" s="179"/>
      <c r="H32" s="179"/>
      <c r="I32" s="179"/>
      <c r="J32" s="179"/>
    </row>
    <row r="33" ht="20.1" customHeight="1">
      <c r="A33" s="4" t="s">
        <v>153</v>
      </c>
      <c r="B33" s="4"/>
      <c r="C33" s="4"/>
      <c r="D33" s="4"/>
      <c r="E33" s="4"/>
      <c r="F33" s="4"/>
      <c r="G33" s="179"/>
      <c r="H33" s="179"/>
      <c r="I33" s="179"/>
      <c r="J33" s="179"/>
    </row>
    <row r="35" ht="12.75">
      <c r="A35" s="111" t="s">
        <v>245</v>
      </c>
      <c r="B35" s="17"/>
      <c r="C35" s="17"/>
    </row>
    <row r="36" s="2" customFormat="1" ht="12.75">
      <c r="A36" s="111" t="s">
        <v>246</v>
      </c>
      <c r="B36" s="17"/>
      <c r="C36" s="17"/>
      <c r="H36" s="3"/>
      <c r="I36" s="3"/>
      <c r="J36" s="3"/>
      <c r="K36" s="3"/>
      <c r="L36" s="3"/>
    </row>
  </sheetData>
  <mergeCells count="31">
    <mergeCell ref="A1:E1"/>
    <mergeCell ref="G1:H1"/>
    <mergeCell ref="E4:H4"/>
    <mergeCell ref="E5:H5"/>
    <mergeCell ref="E6:H6"/>
    <mergeCell ref="A10:H10"/>
    <mergeCell ref="A12:C13"/>
    <mergeCell ref="D12:D13"/>
    <mergeCell ref="E12:E13"/>
    <mergeCell ref="F12:F13"/>
    <mergeCell ref="G12:G13"/>
    <mergeCell ref="H12:H13"/>
    <mergeCell ref="I12:J12"/>
    <mergeCell ref="A14:C14"/>
    <mergeCell ref="A15:C15"/>
    <mergeCell ref="A16:C16"/>
    <mergeCell ref="A17:C17"/>
    <mergeCell ref="A18:C18"/>
    <mergeCell ref="A19:C19"/>
    <mergeCell ref="A20:C20"/>
    <mergeCell ref="A22:E22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</mergeCells>
  <pageMargins left="0.7" right="0.7" top="0.75" bottom="0.75" header="0.5118055" footer="0.5118055"/>
  <pageSetup paperSize="9" orientation="portrait" horizontalDpi="300" verticalDpi="300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E6" sqref="E6:G6"/>
    </sheetView>
  </sheetViews>
  <sheetFormatPr defaultColWidth="11.42188" defaultRowHeight="15"/>
  <cols>
    <col min="1" max="1" width="8.003906" style="3" customWidth="1"/>
    <col min="2" max="2" width="3.140625" style="3" customWidth="1"/>
    <col min="3" max="3" width="0.1367188" style="3" customWidth="1"/>
    <col min="4" max="4" width="21.42188" style="2" customWidth="1"/>
    <col min="5" max="5" width="11.57422" style="2" customWidth="1"/>
    <col min="6" max="6" width="13.71094" style="2" customWidth="1"/>
    <col min="7" max="7" width="13.28125" style="2" customWidth="1"/>
    <col min="8" max="8" width="9.851563" style="3" customWidth="1"/>
    <col min="9" max="257" width="11.42188" style="3"/>
  </cols>
  <sheetData>
    <row r="1" ht="12.75">
      <c r="A1" s="4" t="s">
        <v>0</v>
      </c>
      <c r="B1" s="4"/>
      <c r="C1" s="4"/>
      <c r="D1" s="4"/>
      <c r="E1" s="68" t="s">
        <v>1</v>
      </c>
      <c r="F1" s="7" t="str">
        <f ca="1">NIF()</f>
        <v>195847070002536</v>
      </c>
      <c r="G1" s="7"/>
    </row>
    <row r="2" ht="8.1" customHeight="1">
      <c r="A2" s="5"/>
      <c r="B2" s="5"/>
      <c r="C2" s="5"/>
      <c r="D2" s="5"/>
      <c r="E2" s="5"/>
    </row>
    <row r="3" ht="8.1" customHeight="1"/>
    <row r="4" ht="15">
      <c r="A4" s="56" t="s">
        <v>114</v>
      </c>
      <c r="B4" s="71"/>
      <c r="C4" s="72"/>
      <c r="D4" s="72"/>
      <c r="E4" s="125" t="str">
        <f ca="1">Client()</f>
        <v>BAROUD DJELLOUL E.T.E.H.B.</v>
      </c>
      <c r="F4" s="125"/>
      <c r="G4" s="125"/>
      <c r="H4" s="75"/>
    </row>
    <row r="5" ht="15">
      <c r="A5" s="58" t="s">
        <v>115</v>
      </c>
      <c r="B5" s="76"/>
      <c r="C5" s="77"/>
      <c r="D5" s="77"/>
      <c r="E5" s="127" t="str">
        <f ca="1">ACT()</f>
        <v>BP 377; BENI-ISGUEN.BOUNOURA.</v>
      </c>
      <c r="F5" s="127"/>
      <c r="G5" s="127"/>
      <c r="H5" s="80"/>
    </row>
    <row r="6" ht="15">
      <c r="A6" s="60" t="s">
        <v>116</v>
      </c>
      <c r="B6" s="81"/>
      <c r="C6" s="82"/>
      <c r="D6" s="82"/>
      <c r="E6" s="129" t="str">
        <f ca="1">ADRS()</f>
        <v/>
      </c>
      <c r="F6" s="129"/>
      <c r="G6" s="129"/>
      <c r="H6" s="86"/>
    </row>
    <row r="7" ht="8.1" customHeight="1">
      <c r="A7" s="17"/>
      <c r="B7" s="18"/>
      <c r="C7" s="18"/>
      <c r="D7" s="18"/>
      <c r="E7" s="18"/>
    </row>
    <row r="8" ht="15">
      <c r="B8" s="166" t="s">
        <v>74</v>
      </c>
      <c r="C8" s="166"/>
      <c r="D8" s="166"/>
      <c r="E8" s="20">
        <f ca="1">DATE(Exercice(),"01","01")</f>
        <v>43466</v>
      </c>
      <c r="F8" s="20" t="str">
        <f>'[1]IMMOB_CED_PROV_PER_VAL 7_8'!F9</f>
        <v>au</v>
      </c>
      <c r="G8" s="20">
        <f ca="1">DATE(Exercice(),"12","31")</f>
        <v>43830</v>
      </c>
    </row>
    <row r="10" s="2" customFormat="1" ht="22.5" customHeight="1">
      <c r="A10" s="145" t="s">
        <v>247</v>
      </c>
      <c r="B10" s="145"/>
      <c r="C10" s="145"/>
      <c r="D10" s="145"/>
      <c r="E10" s="145"/>
      <c r="H10" s="3"/>
      <c r="I10" s="3"/>
      <c r="J10" s="3"/>
      <c r="K10" s="3"/>
      <c r="L10" s="3"/>
    </row>
    <row r="11" s="2" customFormat="1" ht="12.75">
      <c r="A11" s="3"/>
      <c r="B11" s="3"/>
      <c r="C11" s="3"/>
      <c r="H11" s="3"/>
      <c r="I11" s="3"/>
      <c r="J11" s="3"/>
      <c r="K11" s="3"/>
      <c r="L11" s="3"/>
    </row>
    <row r="12" s="2" customFormat="1" ht="20.1" customHeight="1">
      <c r="A12" s="116" t="s">
        <v>248</v>
      </c>
      <c r="B12" s="116"/>
      <c r="C12" s="116"/>
      <c r="D12" s="116"/>
      <c r="E12" s="64" t="s">
        <v>249</v>
      </c>
      <c r="F12" s="64"/>
      <c r="G12" s="64" t="s">
        <v>250</v>
      </c>
      <c r="H12" s="64"/>
      <c r="I12" s="3"/>
      <c r="J12" s="3"/>
      <c r="K12" s="3"/>
      <c r="L12" s="3"/>
    </row>
    <row r="13" s="2" customFormat="1" ht="15" customHeight="1">
      <c r="A13" s="107"/>
      <c r="B13" s="107"/>
      <c r="C13" s="107"/>
      <c r="D13" s="107"/>
      <c r="E13" s="180"/>
      <c r="F13" s="181"/>
      <c r="G13" s="182"/>
      <c r="H13" s="181"/>
      <c r="I13" s="3"/>
      <c r="J13" s="3"/>
      <c r="K13" s="3"/>
      <c r="L13" s="3"/>
    </row>
    <row r="14" s="2" customFormat="1" ht="15" customHeight="1">
      <c r="A14" s="107"/>
      <c r="B14" s="107"/>
      <c r="C14" s="107"/>
      <c r="D14" s="107"/>
      <c r="E14" s="180"/>
      <c r="F14" s="181"/>
      <c r="G14" s="182"/>
      <c r="H14" s="181"/>
      <c r="I14" s="3"/>
      <c r="J14" s="3"/>
      <c r="K14" s="3"/>
      <c r="L14" s="3"/>
    </row>
    <row r="15" s="2" customFormat="1" ht="15" customHeight="1">
      <c r="A15" s="107"/>
      <c r="B15" s="107"/>
      <c r="C15" s="107"/>
      <c r="D15" s="107"/>
      <c r="E15" s="180"/>
      <c r="F15" s="181"/>
      <c r="G15" s="182"/>
      <c r="H15" s="181"/>
      <c r="I15" s="3"/>
      <c r="J15" s="3"/>
      <c r="K15" s="3"/>
      <c r="L15" s="3"/>
    </row>
    <row r="16" s="2" customFormat="1" ht="15" customHeight="1">
      <c r="A16" s="107"/>
      <c r="B16" s="107"/>
      <c r="C16" s="107"/>
      <c r="D16" s="107"/>
      <c r="E16" s="180"/>
      <c r="F16" s="181"/>
      <c r="G16" s="182"/>
      <c r="H16" s="181"/>
      <c r="I16" s="3"/>
      <c r="J16" s="3"/>
      <c r="K16" s="3"/>
      <c r="L16" s="3"/>
    </row>
    <row r="17" s="2" customFormat="1" ht="15" customHeight="1">
      <c r="A17" s="107"/>
      <c r="B17" s="107"/>
      <c r="C17" s="107"/>
      <c r="D17" s="107"/>
      <c r="E17" s="180"/>
      <c r="F17" s="181"/>
      <c r="G17" s="182"/>
      <c r="H17" s="181"/>
      <c r="I17" s="3"/>
      <c r="J17" s="3"/>
      <c r="K17" s="3"/>
      <c r="L17" s="3"/>
    </row>
    <row r="18" s="2" customFormat="1" ht="15" customHeight="1">
      <c r="A18" s="107"/>
      <c r="B18" s="107"/>
      <c r="C18" s="107"/>
      <c r="D18" s="107"/>
      <c r="E18" s="180"/>
      <c r="F18" s="181"/>
      <c r="G18" s="182"/>
      <c r="H18" s="181"/>
      <c r="I18" s="3"/>
      <c r="J18" s="3"/>
      <c r="K18" s="3"/>
      <c r="L18" s="3"/>
    </row>
    <row r="19" s="2" customFormat="1" ht="15" customHeight="1">
      <c r="A19" s="107"/>
      <c r="B19" s="107"/>
      <c r="C19" s="107"/>
      <c r="D19" s="107"/>
      <c r="E19" s="180"/>
      <c r="F19" s="181"/>
      <c r="G19" s="182"/>
      <c r="H19" s="181"/>
      <c r="I19" s="3"/>
      <c r="J19" s="3"/>
      <c r="K19" s="3"/>
      <c r="L19" s="3"/>
    </row>
    <row r="20" s="2" customFormat="1" ht="15" customHeight="1">
      <c r="A20" s="107"/>
      <c r="B20" s="107"/>
      <c r="C20" s="107"/>
      <c r="D20" s="107"/>
      <c r="E20" s="180"/>
      <c r="F20" s="181"/>
      <c r="G20" s="182"/>
      <c r="H20" s="181"/>
      <c r="I20" s="3"/>
      <c r="J20" s="3"/>
      <c r="K20" s="3"/>
      <c r="L20" s="3"/>
    </row>
    <row r="21" s="2" customFormat="1" ht="15" customHeight="1">
      <c r="A21" s="107"/>
      <c r="B21" s="107"/>
      <c r="C21" s="107"/>
      <c r="D21" s="107"/>
      <c r="E21" s="180"/>
      <c r="F21" s="181"/>
      <c r="G21" s="182"/>
      <c r="H21" s="181"/>
      <c r="I21" s="3"/>
      <c r="J21" s="3"/>
      <c r="K21" s="3"/>
      <c r="L21" s="3"/>
    </row>
    <row r="22" s="2" customFormat="1" ht="15" customHeight="1">
      <c r="A22" s="107"/>
      <c r="B22" s="107"/>
      <c r="C22" s="107"/>
      <c r="D22" s="107"/>
      <c r="E22" s="180"/>
      <c r="F22" s="181"/>
      <c r="G22" s="182"/>
      <c r="H22" s="181"/>
      <c r="I22" s="3"/>
      <c r="J22" s="3"/>
      <c r="K22" s="3"/>
      <c r="L22" s="3"/>
    </row>
    <row r="23" s="2" customFormat="1" ht="15" customHeight="1">
      <c r="A23" s="107"/>
      <c r="B23" s="107"/>
      <c r="C23" s="107"/>
      <c r="D23" s="107"/>
      <c r="E23" s="183"/>
      <c r="F23" s="184"/>
      <c r="G23" s="40"/>
      <c r="H23" s="184"/>
      <c r="I23" s="3"/>
      <c r="J23" s="3"/>
      <c r="K23" s="3"/>
      <c r="L23" s="3"/>
    </row>
    <row r="24" s="2" customFormat="1" ht="15" customHeight="1">
      <c r="A24" s="185" t="s">
        <v>153</v>
      </c>
      <c r="B24" s="185"/>
      <c r="C24" s="185"/>
      <c r="D24" s="185"/>
      <c r="E24" s="123"/>
      <c r="F24" s="123"/>
      <c r="G24" s="181"/>
      <c r="H24" s="181"/>
      <c r="I24" s="3"/>
      <c r="J24" s="3"/>
      <c r="K24" s="3"/>
      <c r="L24" s="3"/>
    </row>
    <row r="26" s="2" customFormat="1" ht="20.25" customHeight="1">
      <c r="A26" s="145" t="s">
        <v>251</v>
      </c>
      <c r="B26" s="145"/>
      <c r="C26" s="145"/>
      <c r="D26" s="145"/>
      <c r="E26" s="145"/>
      <c r="F26" s="145"/>
      <c r="H26" s="3"/>
      <c r="I26" s="3"/>
      <c r="J26" s="3"/>
      <c r="K26" s="3"/>
      <c r="L26" s="3"/>
    </row>
    <row r="28" s="2" customFormat="1" ht="36" customHeight="1">
      <c r="A28" s="116" t="s">
        <v>252</v>
      </c>
      <c r="B28" s="116"/>
      <c r="C28" s="116"/>
      <c r="D28" s="117" t="s">
        <v>253</v>
      </c>
      <c r="E28" s="117" t="s">
        <v>250</v>
      </c>
      <c r="F28" s="117"/>
      <c r="G28" s="117" t="s">
        <v>226</v>
      </c>
      <c r="H28" s="117"/>
      <c r="I28" s="3"/>
      <c r="J28" s="3"/>
      <c r="K28" s="3"/>
      <c r="L28" s="3"/>
    </row>
    <row r="29" ht="15" customHeight="1">
      <c r="A29" s="186" t="s">
        <v>18</v>
      </c>
      <c r="B29" s="186"/>
      <c r="C29" s="186"/>
      <c r="D29" s="123" t="s">
        <v>18</v>
      </c>
      <c r="E29" s="123" t="s">
        <v>18</v>
      </c>
      <c r="F29" s="123"/>
      <c r="G29" s="123" t="s">
        <v>18</v>
      </c>
      <c r="H29" s="123"/>
    </row>
    <row r="30" s="2" customFormat="1" ht="15" customHeight="1">
      <c r="A30" s="187" t="s">
        <v>18</v>
      </c>
      <c r="B30" s="187"/>
      <c r="C30" s="187"/>
      <c r="D30" s="123" t="s">
        <v>18</v>
      </c>
      <c r="E30" s="188" t="s">
        <v>18</v>
      </c>
      <c r="F30" s="188"/>
      <c r="G30" s="123" t="s">
        <v>18</v>
      </c>
      <c r="H30" s="123"/>
      <c r="I30" s="3"/>
      <c r="J30" s="3"/>
      <c r="K30" s="3"/>
      <c r="L30" s="3"/>
    </row>
    <row r="31" s="2" customFormat="1" ht="15" customHeight="1">
      <c r="A31" s="189"/>
      <c r="B31" s="189"/>
      <c r="C31" s="190"/>
      <c r="D31" s="180"/>
      <c r="E31" s="180"/>
      <c r="F31" s="181"/>
      <c r="G31" s="180"/>
      <c r="H31" s="181"/>
      <c r="I31" s="3"/>
      <c r="J31" s="3"/>
      <c r="K31" s="3"/>
      <c r="L31" s="3"/>
    </row>
    <row r="32" s="2" customFormat="1" ht="15" customHeight="1">
      <c r="A32" s="189"/>
      <c r="B32" s="189"/>
      <c r="C32" s="190"/>
      <c r="D32" s="123"/>
      <c r="E32" s="180"/>
      <c r="F32" s="181"/>
      <c r="G32" s="180"/>
      <c r="H32" s="181"/>
      <c r="I32" s="3"/>
      <c r="J32" s="3"/>
      <c r="K32" s="3"/>
      <c r="L32" s="3"/>
    </row>
    <row r="33" s="2" customFormat="1" ht="15" customHeight="1">
      <c r="A33" s="189"/>
      <c r="B33" s="189"/>
      <c r="C33" s="190"/>
      <c r="D33" s="180"/>
      <c r="E33" s="180"/>
      <c r="F33" s="181"/>
      <c r="G33" s="180"/>
      <c r="H33" s="181"/>
      <c r="I33" s="3"/>
      <c r="J33" s="3"/>
      <c r="K33" s="3"/>
      <c r="L33" s="3"/>
    </row>
    <row r="34" ht="15" customHeight="1">
      <c r="A34" s="191" t="s">
        <v>153</v>
      </c>
      <c r="B34" s="191"/>
      <c r="C34" s="191"/>
      <c r="D34" s="123" t="s">
        <v>18</v>
      </c>
      <c r="E34" s="192" t="s">
        <v>18</v>
      </c>
      <c r="F34" s="192"/>
      <c r="G34" s="192" t="s">
        <v>18</v>
      </c>
      <c r="H34" s="192"/>
    </row>
    <row r="35" ht="12.75">
      <c r="D35" s="2" t="s">
        <v>18</v>
      </c>
    </row>
  </sheetData>
  <mergeCells count="37">
    <mergeCell ref="A1:D1"/>
    <mergeCell ref="F1:G1"/>
    <mergeCell ref="E4:G4"/>
    <mergeCell ref="E5:G5"/>
    <mergeCell ref="E6:G6"/>
    <mergeCell ref="B8:D8"/>
    <mergeCell ref="A10:E10"/>
    <mergeCell ref="A12:D12"/>
    <mergeCell ref="E12:F12"/>
    <mergeCell ref="G12:H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E24:F24"/>
    <mergeCell ref="G24:H24"/>
    <mergeCell ref="A26:F26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4:C34"/>
    <mergeCell ref="E34:F34"/>
    <mergeCell ref="G34:H34"/>
  </mergeCells>
  <pageMargins left="0.7" right="0.7" top="0.75" bottom="0.75" header="0.5118055" footer="0.5118055"/>
  <pageSetup paperSize="9" orientation="portrait" horizontalDpi="300" verticalDpi="300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pane topLeftCell="A29" ySplit="7545"/>
      <selection activeCell="E6" sqref="E6:G6"/>
      <selection pane="bottomLeft" activeCell="A25" sqref="A25"/>
    </sheetView>
  </sheetViews>
  <sheetFormatPr defaultColWidth="11.42188" defaultRowHeight="15"/>
  <cols>
    <col min="1" max="1" width="8.003906" style="3" customWidth="1"/>
    <col min="2" max="2" width="3.140625" style="3" customWidth="1"/>
    <col min="3" max="3" width="5.851563" style="3" customWidth="1"/>
    <col min="4" max="4" width="17.14063" style="2" customWidth="1"/>
    <col min="5" max="5" width="17.57422" style="2" customWidth="1"/>
    <col min="6" max="6" width="9.851563" style="2" customWidth="1"/>
    <col min="7" max="7" width="13.42188" style="2" customWidth="1"/>
    <col min="8" max="8" width="11.85156" style="193" customWidth="1"/>
    <col min="9" max="257" width="11.42188" style="3"/>
  </cols>
  <sheetData>
    <row r="1">
      <c r="A1" s="4" t="s">
        <v>0</v>
      </c>
      <c r="B1" s="4"/>
      <c r="C1" s="4"/>
      <c r="D1" s="4"/>
      <c r="E1" s="68" t="s">
        <v>1</v>
      </c>
      <c r="F1" s="7" t="str">
        <f ca="1">NIF()</f>
        <v>195847070002536</v>
      </c>
      <c r="G1" s="7"/>
    </row>
    <row r="2" ht="8.1" customHeight="1">
      <c r="A2" s="5"/>
      <c r="B2" s="5"/>
      <c r="C2" s="5"/>
      <c r="D2" s="5"/>
      <c r="E2" s="5"/>
    </row>
    <row r="3" ht="8.1" customHeight="1"/>
    <row r="4">
      <c r="A4" s="56" t="s">
        <v>71</v>
      </c>
      <c r="B4" s="71"/>
      <c r="C4" s="72"/>
      <c r="D4" s="72"/>
      <c r="E4" s="125" t="str">
        <f ca="1">Client()</f>
        <v>BAROUD DJELLOUL E.T.E.H.B.</v>
      </c>
      <c r="F4" s="125"/>
      <c r="G4" s="125"/>
      <c r="H4" s="194"/>
    </row>
    <row r="5">
      <c r="A5" s="58" t="s">
        <v>72</v>
      </c>
      <c r="B5" s="76"/>
      <c r="C5" s="77"/>
      <c r="D5" s="77"/>
      <c r="E5" s="127" t="str">
        <f ca="1">ACT()</f>
        <v>BP 377; BENI-ISGUEN.BOUNOURA.</v>
      </c>
      <c r="F5" s="127"/>
      <c r="G5" s="127"/>
      <c r="H5" s="184"/>
    </row>
    <row r="6">
      <c r="A6" s="60" t="s">
        <v>73</v>
      </c>
      <c r="B6" s="81"/>
      <c r="C6" s="82"/>
      <c r="D6" s="82"/>
      <c r="E6" s="129" t="str">
        <f ca="1">ADRS()</f>
        <v/>
      </c>
      <c r="F6" s="129"/>
      <c r="G6" s="129"/>
      <c r="H6" s="195"/>
    </row>
    <row r="7" ht="8.1" customHeight="1">
      <c r="A7" s="17"/>
      <c r="D7" s="18"/>
      <c r="E7" s="18"/>
    </row>
    <row r="8">
      <c r="D8" s="114" t="s">
        <v>74</v>
      </c>
      <c r="E8" s="20">
        <f ca="1">DATE(Exercice(),"01","01")</f>
        <v>43466</v>
      </c>
      <c r="F8" s="20" t="s">
        <v>75</v>
      </c>
      <c r="G8" s="20">
        <f ca="1">DATE(Exercice(),"12","31")</f>
        <v>43830</v>
      </c>
      <c r="H8" s="196"/>
    </row>
    <row r="10" s="2" customFormat="1" ht="21.75" customHeight="1">
      <c r="A10" s="145" t="s">
        <v>254</v>
      </c>
      <c r="B10" s="145"/>
      <c r="C10" s="145"/>
      <c r="D10" s="145"/>
      <c r="E10" s="145"/>
      <c r="H10" s="193"/>
      <c r="I10" s="3"/>
      <c r="J10" s="3"/>
      <c r="K10" s="3"/>
      <c r="L10" s="3"/>
    </row>
    <row r="11" ht="9.95" customHeight="1">
      <c r="H11" s="197"/>
    </row>
    <row r="12" s="2" customFormat="1" ht="15.95" customHeight="1">
      <c r="A12" s="198" t="s">
        <v>255</v>
      </c>
      <c r="B12" s="198"/>
      <c r="C12" s="198"/>
      <c r="D12" s="198"/>
      <c r="E12" s="199" t="s">
        <v>256</v>
      </c>
      <c r="F12" s="199"/>
      <c r="G12" s="199"/>
      <c r="H12" s="48">
        <f ca="1">IF(S(7)&gt;S(6),S(7)-S(6),0)</f>
        <v>4106545.700000003</v>
      </c>
      <c r="I12" s="3"/>
      <c r="J12" s="3"/>
      <c r="K12" s="3"/>
      <c r="L12" s="3"/>
    </row>
    <row r="13" s="2" customFormat="1" ht="15.95" customHeight="1">
      <c r="A13" s="198" t="s">
        <v>257</v>
      </c>
      <c r="B13" s="198"/>
      <c r="C13" s="198"/>
      <c r="D13" s="198"/>
      <c r="E13" s="199" t="s">
        <v>258</v>
      </c>
      <c r="F13" s="199"/>
      <c r="G13" s="199"/>
      <c r="H13" s="48">
        <f ca="1">IF(S(7)&lt;=S(6),S(6)-S(7),0)</f>
        <v>0</v>
      </c>
      <c r="I13" s="3"/>
      <c r="J13" s="3"/>
      <c r="K13" s="3"/>
      <c r="L13" s="3"/>
    </row>
    <row r="14" s="2" customFormat="1" ht="15.95" customHeight="1">
      <c r="A14" s="198" t="s">
        <v>259</v>
      </c>
      <c r="B14" s="198"/>
      <c r="C14" s="198"/>
      <c r="D14" s="198"/>
      <c r="E14" s="198"/>
      <c r="F14" s="198"/>
      <c r="G14" s="198"/>
      <c r="H14" s="48"/>
      <c r="I14" s="3"/>
      <c r="J14" s="3"/>
      <c r="K14" s="3"/>
      <c r="L14" s="3"/>
    </row>
    <row r="15" s="2" customFormat="1" ht="15.95" customHeight="1">
      <c r="A15" s="200" t="s">
        <v>260</v>
      </c>
      <c r="B15" s="200"/>
      <c r="C15" s="200"/>
      <c r="D15" s="200"/>
      <c r="E15" s="200"/>
      <c r="F15" s="200"/>
      <c r="G15" s="200"/>
      <c r="H15" s="39"/>
      <c r="I15" s="3"/>
      <c r="J15" s="3"/>
      <c r="K15" s="3"/>
      <c r="L15" s="3"/>
    </row>
    <row r="16" s="2" customFormat="1" ht="15.95" customHeight="1">
      <c r="A16" s="200" t="s">
        <v>261</v>
      </c>
      <c r="B16" s="200"/>
      <c r="C16" s="200"/>
      <c r="D16" s="200"/>
      <c r="E16" s="200"/>
      <c r="F16" s="200"/>
      <c r="G16" s="200"/>
      <c r="H16" s="39"/>
      <c r="I16" s="3"/>
      <c r="J16" s="3"/>
      <c r="K16" s="3"/>
      <c r="L16" s="3"/>
    </row>
    <row r="17" s="2" customFormat="1" ht="15.95" customHeight="1">
      <c r="A17" s="200" t="s">
        <v>262</v>
      </c>
      <c r="B17" s="200"/>
      <c r="C17" s="200"/>
      <c r="D17" s="200"/>
      <c r="E17" s="200"/>
      <c r="F17" s="200"/>
      <c r="G17" s="200"/>
      <c r="H17" s="39"/>
      <c r="I17" s="3"/>
      <c r="J17" s="3"/>
      <c r="K17" s="3"/>
      <c r="L17" s="3"/>
    </row>
    <row r="18" s="2" customFormat="1" ht="15.95" customHeight="1">
      <c r="A18" s="200" t="s">
        <v>263</v>
      </c>
      <c r="B18" s="200"/>
      <c r="C18" s="200"/>
      <c r="D18" s="200"/>
      <c r="E18" s="200"/>
      <c r="F18" s="200"/>
      <c r="G18" s="200"/>
      <c r="H18" s="39"/>
      <c r="I18" s="3"/>
      <c r="J18" s="3"/>
      <c r="K18" s="3"/>
      <c r="L18" s="3"/>
    </row>
    <row r="19" s="2" customFormat="1" ht="15.95" customHeight="1">
      <c r="A19" s="200" t="s">
        <v>264</v>
      </c>
      <c r="B19" s="200"/>
      <c r="C19" s="200"/>
      <c r="D19" s="200"/>
      <c r="E19" s="200"/>
      <c r="F19" s="200"/>
      <c r="G19" s="200"/>
      <c r="H19" s="39"/>
      <c r="I19" s="3"/>
      <c r="J19" s="3"/>
      <c r="K19" s="3"/>
      <c r="L19" s="3"/>
    </row>
    <row r="20" s="2" customFormat="1" ht="15.95" customHeight="1">
      <c r="A20" s="200" t="s">
        <v>265</v>
      </c>
      <c r="B20" s="200"/>
      <c r="C20" s="200"/>
      <c r="D20" s="200"/>
      <c r="E20" s="200"/>
      <c r="F20" s="200"/>
      <c r="G20" s="200"/>
      <c r="H20" s="39" t="s">
        <v>18</v>
      </c>
      <c r="I20" s="3"/>
      <c r="J20" s="3"/>
      <c r="K20" s="3"/>
      <c r="L20" s="3"/>
    </row>
    <row r="21" s="2" customFormat="1" ht="15.95" customHeight="1">
      <c r="A21" s="200" t="s">
        <v>266</v>
      </c>
      <c r="B21" s="200"/>
      <c r="C21" s="200"/>
      <c r="D21" s="200"/>
      <c r="E21" s="200"/>
      <c r="F21" s="200"/>
      <c r="G21" s="200"/>
      <c r="H21" s="39"/>
      <c r="I21" s="3"/>
      <c r="J21" s="3"/>
      <c r="K21" s="3"/>
      <c r="L21" s="3"/>
    </row>
    <row r="22" s="2" customFormat="1" ht="15.95" customHeight="1">
      <c r="A22" s="200" t="s">
        <v>267</v>
      </c>
      <c r="B22" s="200"/>
      <c r="C22" s="200"/>
      <c r="D22" s="200"/>
      <c r="E22" s="200"/>
      <c r="F22" s="200"/>
      <c r="G22" s="200"/>
      <c r="H22" s="39"/>
      <c r="I22" s="3"/>
      <c r="J22" s="3"/>
      <c r="K22" s="3"/>
      <c r="L22" s="3"/>
    </row>
    <row r="23" s="2" customFormat="1" ht="15.95" customHeight="1">
      <c r="A23" s="200" t="s">
        <v>268</v>
      </c>
      <c r="B23" s="200"/>
      <c r="C23" s="200"/>
      <c r="D23" s="200"/>
      <c r="E23" s="200"/>
      <c r="F23" s="200"/>
      <c r="G23" s="200"/>
      <c r="H23" s="39"/>
      <c r="I23" s="3"/>
      <c r="J23" s="3"/>
      <c r="K23" s="3"/>
      <c r="L23" s="3"/>
    </row>
    <row r="24" s="2" customFormat="1" ht="24.95" customHeight="1">
      <c r="A24" s="201" t="s">
        <v>269</v>
      </c>
      <c r="B24" s="201"/>
      <c r="C24" s="201"/>
      <c r="D24" s="201"/>
      <c r="E24" s="201"/>
      <c r="F24" s="201"/>
      <c r="G24" s="201"/>
      <c r="H24" s="39"/>
      <c r="I24" s="3"/>
      <c r="J24" s="3"/>
      <c r="K24" s="3"/>
      <c r="L24" s="3"/>
    </row>
    <row r="25" s="2" customFormat="1" ht="15.95" customHeight="1">
      <c r="A25" s="200" t="s">
        <v>270</v>
      </c>
      <c r="B25" s="200"/>
      <c r="C25" s="200"/>
      <c r="D25" s="200"/>
      <c r="E25" s="200"/>
      <c r="F25" s="200"/>
      <c r="G25" s="200"/>
      <c r="H25" s="39"/>
      <c r="I25" s="3"/>
      <c r="J25" s="3"/>
      <c r="K25" s="3"/>
      <c r="L25" s="3"/>
    </row>
    <row r="26" s="2" customFormat="1" ht="15.95" customHeight="1">
      <c r="A26" s="41" t="s">
        <v>271</v>
      </c>
      <c r="B26" s="41"/>
      <c r="C26" s="41"/>
      <c r="D26" s="41"/>
      <c r="E26" s="41" t="s">
        <v>272</v>
      </c>
      <c r="F26" s="41"/>
      <c r="G26" s="41"/>
      <c r="H26" s="39">
        <f ca="1">S(695)</f>
        <v>0</v>
      </c>
      <c r="I26" s="3"/>
      <c r="J26" s="3"/>
      <c r="K26" s="3"/>
      <c r="L26" s="3"/>
    </row>
    <row r="27" s="2" customFormat="1" ht="15.95" customHeight="1">
      <c r="A27" s="41"/>
      <c r="B27" s="41"/>
      <c r="C27" s="41"/>
      <c r="D27" s="41"/>
      <c r="E27" s="41" t="s">
        <v>273</v>
      </c>
      <c r="F27" s="41"/>
      <c r="G27" s="41"/>
      <c r="H27" s="39"/>
      <c r="I27" s="3"/>
      <c r="J27" s="3"/>
      <c r="K27" s="3"/>
      <c r="L27" s="3"/>
    </row>
    <row r="28" s="2" customFormat="1" ht="15.95" customHeight="1">
      <c r="A28" s="200" t="s">
        <v>274</v>
      </c>
      <c r="B28" s="200"/>
      <c r="C28" s="200"/>
      <c r="D28" s="200"/>
      <c r="E28" s="200"/>
      <c r="F28" s="200"/>
      <c r="G28" s="200"/>
      <c r="H28" s="39"/>
      <c r="I28" s="3"/>
      <c r="J28" s="3"/>
      <c r="K28" s="3"/>
      <c r="L28" s="3"/>
    </row>
    <row r="29" s="2" customFormat="1" ht="15.95" customHeight="1">
      <c r="A29" s="200" t="s">
        <v>275</v>
      </c>
      <c r="B29" s="200"/>
      <c r="C29" s="200"/>
      <c r="D29" s="200"/>
      <c r="E29" s="200"/>
      <c r="F29" s="200"/>
      <c r="G29" s="200"/>
      <c r="H29" s="39">
        <f ca="1">SF(656)</f>
        <v>0</v>
      </c>
      <c r="I29" s="3"/>
      <c r="J29" s="3"/>
      <c r="K29" s="3"/>
      <c r="L29" s="3"/>
    </row>
    <row r="30" s="2" customFormat="1" ht="15.95" customHeight="1">
      <c r="A30" s="41" t="s">
        <v>276</v>
      </c>
      <c r="B30" s="41"/>
      <c r="C30" s="41"/>
      <c r="D30" s="41"/>
      <c r="E30" s="41"/>
      <c r="F30" s="41"/>
      <c r="G30" s="41"/>
      <c r="H30" s="39"/>
      <c r="I30" s="3"/>
      <c r="J30" s="3"/>
      <c r="K30" s="3"/>
      <c r="L30" s="3"/>
    </row>
    <row r="31" s="2" customFormat="1" ht="15.95" customHeight="1">
      <c r="A31" s="202" t="s">
        <v>277</v>
      </c>
      <c r="B31" s="202"/>
      <c r="C31" s="202"/>
      <c r="D31" s="202"/>
      <c r="E31" s="202"/>
      <c r="F31" s="202"/>
      <c r="G31" s="202"/>
      <c r="H31" s="48">
        <f ca="1">SUM(H15:H30)</f>
        <v>0</v>
      </c>
      <c r="I31" s="3"/>
      <c r="J31" s="3"/>
      <c r="K31" s="3"/>
      <c r="L31" s="3"/>
    </row>
    <row r="32" s="2" customFormat="1" ht="15.95" customHeight="1">
      <c r="A32" s="199" t="s">
        <v>278</v>
      </c>
      <c r="B32" s="199"/>
      <c r="C32" s="199"/>
      <c r="D32" s="199"/>
      <c r="E32" s="199"/>
      <c r="F32" s="199"/>
      <c r="G32" s="199"/>
      <c r="H32" s="48"/>
      <c r="I32" s="3"/>
      <c r="J32" s="3"/>
      <c r="K32" s="3"/>
      <c r="L32" s="3"/>
    </row>
    <row r="33" s="2" customFormat="1" ht="15.95" customHeight="1">
      <c r="A33" s="203" t="s">
        <v>279</v>
      </c>
      <c r="B33" s="203"/>
      <c r="C33" s="203"/>
      <c r="D33" s="203"/>
      <c r="E33" s="203"/>
      <c r="F33" s="203"/>
      <c r="G33" s="203"/>
      <c r="H33" s="69"/>
      <c r="I33" s="3"/>
      <c r="J33" s="3"/>
      <c r="K33" s="3"/>
      <c r="L33" s="3"/>
    </row>
    <row r="34" s="2" customFormat="1" ht="24.95" customHeight="1">
      <c r="A34" s="178" t="s">
        <v>280</v>
      </c>
      <c r="B34" s="178"/>
      <c r="C34" s="178"/>
      <c r="D34" s="178"/>
      <c r="E34" s="178"/>
      <c r="F34" s="178"/>
      <c r="G34" s="178"/>
      <c r="H34" s="39"/>
      <c r="I34" s="3"/>
      <c r="J34" s="3"/>
      <c r="K34" s="3"/>
      <c r="L34" s="3"/>
    </row>
    <row r="35" s="2" customFormat="1" ht="24.95" customHeight="1">
      <c r="A35" s="178" t="s">
        <v>281</v>
      </c>
      <c r="B35" s="178"/>
      <c r="C35" s="178"/>
      <c r="D35" s="178"/>
      <c r="E35" s="178"/>
      <c r="F35" s="178"/>
      <c r="G35" s="178"/>
      <c r="H35" s="39"/>
      <c r="I35" s="3"/>
      <c r="J35" s="3"/>
      <c r="K35" s="3"/>
      <c r="L35" s="3"/>
    </row>
    <row r="36" s="2" customFormat="1" ht="15.95" customHeight="1">
      <c r="A36" s="200" t="s">
        <v>282</v>
      </c>
      <c r="B36" s="200"/>
      <c r="C36" s="200"/>
      <c r="D36" s="200"/>
      <c r="E36" s="200"/>
      <c r="F36" s="200"/>
      <c r="G36" s="200"/>
      <c r="H36" s="39"/>
      <c r="I36" s="3"/>
      <c r="J36" s="3"/>
      <c r="K36" s="3"/>
      <c r="L36" s="3"/>
    </row>
    <row r="37" s="2" customFormat="1" ht="15.95" customHeight="1">
      <c r="A37" s="200" t="s">
        <v>283</v>
      </c>
      <c r="B37" s="200"/>
      <c r="C37" s="200"/>
      <c r="D37" s="200"/>
      <c r="E37" s="200"/>
      <c r="F37" s="200"/>
      <c r="G37" s="200"/>
      <c r="H37" s="39"/>
      <c r="I37" s="3"/>
      <c r="J37" s="3"/>
      <c r="K37" s="3"/>
      <c r="L37" s="3"/>
    </row>
    <row r="38" s="2" customFormat="1" ht="15.95" customHeight="1">
      <c r="A38" s="200" t="s">
        <v>284</v>
      </c>
      <c r="B38" s="200"/>
      <c r="C38" s="200"/>
      <c r="D38" s="200"/>
      <c r="E38" s="200"/>
      <c r="F38" s="200"/>
      <c r="G38" s="200"/>
      <c r="H38" s="39"/>
      <c r="I38" s="3"/>
      <c r="J38" s="3"/>
      <c r="K38" s="3"/>
      <c r="L38" s="3"/>
    </row>
    <row r="39" s="2" customFormat="1" ht="15.95" customHeight="1">
      <c r="A39" s="200" t="s">
        <v>285</v>
      </c>
      <c r="B39" s="200"/>
      <c r="C39" s="200"/>
      <c r="D39" s="200"/>
      <c r="E39" s="200"/>
      <c r="F39" s="200"/>
      <c r="G39" s="200"/>
      <c r="H39" s="39"/>
      <c r="I39" s="3"/>
      <c r="J39" s="204"/>
      <c r="K39" s="3"/>
      <c r="L39" s="3"/>
    </row>
    <row r="40" s="2" customFormat="1" ht="15.95" customHeight="1">
      <c r="A40" s="202" t="s">
        <v>286</v>
      </c>
      <c r="B40" s="202"/>
      <c r="C40" s="202"/>
      <c r="D40" s="202"/>
      <c r="E40" s="202"/>
      <c r="F40" s="202"/>
      <c r="G40" s="202"/>
      <c r="H40" s="48">
        <f>SUM(H33:H39)</f>
        <v>0</v>
      </c>
      <c r="I40" s="3"/>
      <c r="J40" s="3"/>
      <c r="K40" s="3"/>
      <c r="L40" s="3"/>
    </row>
    <row r="41" s="2" customFormat="1" ht="15.95" customHeight="1">
      <c r="A41" s="46" t="s">
        <v>287</v>
      </c>
      <c r="B41" s="46"/>
      <c r="C41" s="46"/>
      <c r="D41" s="46"/>
      <c r="E41" s="46"/>
      <c r="F41" s="46"/>
      <c r="G41" s="46"/>
      <c r="H41" s="48"/>
      <c r="I41" s="3"/>
      <c r="J41" s="3"/>
      <c r="K41" s="3"/>
      <c r="L41" s="3"/>
    </row>
    <row r="42" s="2" customFormat="1" ht="15.95" customHeight="1">
      <c r="A42" s="200" t="s">
        <v>288</v>
      </c>
      <c r="B42" s="200"/>
      <c r="C42" s="200"/>
      <c r="D42" s="200"/>
      <c r="E42" s="200"/>
      <c r="F42" s="200"/>
      <c r="G42" s="200"/>
      <c r="H42" s="39"/>
      <c r="I42" s="3"/>
      <c r="J42" s="3"/>
      <c r="K42" s="3"/>
      <c r="L42" s="3"/>
    </row>
    <row r="43" s="2" customFormat="1" ht="15.95" customHeight="1">
      <c r="A43" s="200" t="s">
        <v>288</v>
      </c>
      <c r="B43" s="200"/>
      <c r="C43" s="200"/>
      <c r="D43" s="200"/>
      <c r="E43" s="200"/>
      <c r="F43" s="200"/>
      <c r="G43" s="200"/>
      <c r="H43" s="39"/>
      <c r="I43" s="3"/>
      <c r="J43" s="3"/>
      <c r="K43" s="3"/>
      <c r="L43" s="3"/>
    </row>
    <row r="44" s="2" customFormat="1" ht="15.95" customHeight="1">
      <c r="A44" s="200" t="s">
        <v>288</v>
      </c>
      <c r="B44" s="200"/>
      <c r="C44" s="200"/>
      <c r="D44" s="200"/>
      <c r="E44" s="200"/>
      <c r="F44" s="200"/>
      <c r="G44" s="200"/>
      <c r="H44" s="39"/>
      <c r="I44" s="3"/>
      <c r="J44" s="3"/>
      <c r="K44" s="3"/>
      <c r="L44" s="3"/>
    </row>
    <row r="45" s="2" customFormat="1" ht="15.95" customHeight="1">
      <c r="A45" s="202" t="s">
        <v>289</v>
      </c>
      <c r="B45" s="202"/>
      <c r="C45" s="202"/>
      <c r="D45" s="202"/>
      <c r="E45" s="202"/>
      <c r="F45" s="202"/>
      <c r="G45" s="202"/>
      <c r="H45" s="48">
        <f>SUM(H42:H44)</f>
        <v>0</v>
      </c>
      <c r="I45" s="3"/>
      <c r="J45" s="3"/>
      <c r="K45" s="3"/>
      <c r="L45" s="3"/>
    </row>
    <row r="46" s="2" customFormat="1" ht="15.95" customHeight="1">
      <c r="A46" s="46" t="s">
        <v>290</v>
      </c>
      <c r="B46" s="46"/>
      <c r="C46" s="46"/>
      <c r="D46" s="46"/>
      <c r="E46" s="199" t="s">
        <v>256</v>
      </c>
      <c r="F46" s="199"/>
      <c r="G46" s="199"/>
      <c r="H46" s="48">
        <f ca="1">IF(H12-H13+H31-H40-H45&gt;0,H12-H13+H31-H40-H45,0)</f>
        <v>4106545.700000003</v>
      </c>
      <c r="I46" s="3"/>
      <c r="J46" s="3"/>
      <c r="K46" s="3"/>
      <c r="L46" s="3"/>
    </row>
    <row r="47" s="2" customFormat="1" ht="15.95" customHeight="1">
      <c r="A47" s="46"/>
      <c r="B47" s="46"/>
      <c r="C47" s="46"/>
      <c r="D47" s="46"/>
      <c r="E47" s="199" t="s">
        <v>291</v>
      </c>
      <c r="F47" s="199"/>
      <c r="G47" s="199"/>
      <c r="H47" s="48">
        <f ca="1">IF(H12-H13+H31-H40-H45&lt;=0,-(H12-H13+H31-H40-H45),0)</f>
        <v>0</v>
      </c>
      <c r="I47" s="3"/>
      <c r="J47" s="3"/>
      <c r="K47" s="3"/>
      <c r="L47" s="3"/>
    </row>
    <row r="48" ht="12.75">
      <c r="A48" s="2"/>
    </row>
    <row r="49" s="2" customFormat="1" ht="12.75">
      <c r="A49" s="17"/>
      <c r="B49" s="17"/>
      <c r="C49" s="17"/>
      <c r="H49" s="193"/>
      <c r="I49" s="3"/>
      <c r="J49" s="3"/>
      <c r="K49" s="3"/>
      <c r="L49" s="3"/>
    </row>
  </sheetData>
  <mergeCells count="46">
    <mergeCell ref="A1:D1"/>
    <mergeCell ref="F1:G1"/>
    <mergeCell ref="E4:G4"/>
    <mergeCell ref="E5:G5"/>
    <mergeCell ref="E6:G6"/>
    <mergeCell ref="A10:E10"/>
    <mergeCell ref="A12:D12"/>
    <mergeCell ref="E12:G12"/>
    <mergeCell ref="A13:D13"/>
    <mergeCell ref="E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D27"/>
    <mergeCell ref="E26:G26"/>
    <mergeCell ref="E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4:G44"/>
    <mergeCell ref="A45:G45"/>
    <mergeCell ref="A46:D47"/>
    <mergeCell ref="E46:G46"/>
    <mergeCell ref="E47:G47"/>
  </mergeCells>
  <pageMargins left="0.7" right="0.7" top="0.75" bottom="0.75" header="0.5118055" footer="0.5118055"/>
  <pageSetup paperSize="9" orientation="portrait" horizontalDpi="300" verticalDpi="300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E6" sqref="E6:H6"/>
    </sheetView>
  </sheetViews>
  <sheetFormatPr defaultColWidth="11.42188" defaultRowHeight="15"/>
  <cols>
    <col min="1" max="1" width="8.140625" style="3" customWidth="1"/>
    <col min="2" max="2" width="5.003906" style="3" customWidth="1"/>
    <col min="3" max="3" width="5.851563" style="3" customWidth="1"/>
    <col min="4" max="4" width="11.57422" style="2" customWidth="1"/>
    <col min="5" max="5" width="11.28125" style="2" customWidth="1"/>
    <col min="6" max="6" width="8.28125" style="2" customWidth="1"/>
    <col min="7" max="7" width="9.710938" style="2" customWidth="1"/>
    <col min="8" max="8" width="7.851563" style="3" customWidth="1"/>
    <col min="9" max="9" width="10.85156" style="205" customWidth="1"/>
    <col min="10" max="10" width="8.28125" style="205" customWidth="1"/>
    <col min="11" max="257" width="11.42188" style="3"/>
  </cols>
  <sheetData>
    <row r="1" ht="12.75">
      <c r="A1" s="206" t="s">
        <v>0</v>
      </c>
      <c r="B1" s="206"/>
      <c r="C1" s="206"/>
      <c r="D1" s="206"/>
      <c r="E1" s="207" t="s">
        <v>1</v>
      </c>
      <c r="F1" s="186" t="str">
        <f ca="1">NIF()</f>
        <v>195847070002536</v>
      </c>
      <c r="G1" s="186"/>
      <c r="H1" s="208"/>
      <c r="I1" s="193"/>
      <c r="J1" s="193"/>
    </row>
    <row r="2" ht="8.1" customHeight="1">
      <c r="A2" s="189"/>
      <c r="B2" s="189"/>
      <c r="C2" s="189"/>
      <c r="D2" s="189"/>
      <c r="E2" s="189"/>
      <c r="F2" s="209"/>
      <c r="G2" s="209"/>
      <c r="H2" s="208"/>
      <c r="I2" s="193"/>
      <c r="J2" s="193"/>
    </row>
    <row r="3" ht="8.1" customHeight="1">
      <c r="A3" s="208"/>
      <c r="B3" s="208"/>
      <c r="C3" s="208"/>
      <c r="D3" s="209"/>
      <c r="E3" s="209"/>
      <c r="F3" s="209"/>
      <c r="G3" s="209"/>
      <c r="H3" s="208"/>
      <c r="I3" s="193"/>
      <c r="J3" s="193"/>
    </row>
    <row r="4" ht="12.75">
      <c r="A4" s="210" t="s">
        <v>114</v>
      </c>
      <c r="B4" s="211"/>
      <c r="C4" s="212"/>
      <c r="D4" s="212"/>
      <c r="E4" s="213" t="str">
        <f ca="1">Client()</f>
        <v>BAROUD DJELLOUL E.T.E.H.B.</v>
      </c>
      <c r="F4" s="213"/>
      <c r="G4" s="213"/>
      <c r="H4" s="213"/>
      <c r="I4" s="214"/>
      <c r="J4" s="215"/>
    </row>
    <row r="5" ht="12.75">
      <c r="A5" s="216" t="s">
        <v>115</v>
      </c>
      <c r="B5" s="217"/>
      <c r="C5" s="218"/>
      <c r="D5" s="218"/>
      <c r="E5" s="219" t="str">
        <f ca="1">ACT()</f>
        <v>BP 377; BENI-ISGUEN.BOUNOURA.</v>
      </c>
      <c r="F5" s="219"/>
      <c r="G5" s="219"/>
      <c r="H5" s="219"/>
      <c r="I5" s="220"/>
      <c r="J5" s="221"/>
    </row>
    <row r="6" ht="12.75">
      <c r="A6" s="222" t="s">
        <v>116</v>
      </c>
      <c r="B6" s="223"/>
      <c r="C6" s="224"/>
      <c r="D6" s="224"/>
      <c r="E6" s="225" t="str">
        <f ca="1">ADRS()</f>
        <v/>
      </c>
      <c r="F6" s="225"/>
      <c r="G6" s="225"/>
      <c r="H6" s="225"/>
      <c r="I6" s="226"/>
      <c r="J6" s="227"/>
    </row>
    <row r="7" ht="8.1" customHeight="1">
      <c r="A7" s="228"/>
      <c r="B7" s="229"/>
      <c r="C7" s="229"/>
      <c r="D7" s="230"/>
      <c r="E7" s="230"/>
      <c r="F7" s="209"/>
      <c r="G7" s="209"/>
      <c r="H7" s="208"/>
      <c r="I7" s="193"/>
      <c r="J7" s="193"/>
    </row>
    <row r="8" ht="12.75">
      <c r="A8" s="208"/>
      <c r="B8" s="229"/>
      <c r="C8" s="229"/>
      <c r="D8" s="231" t="s">
        <v>74</v>
      </c>
      <c r="E8" s="232">
        <f ca="1">DATE(Exercice(),"01","01")</f>
        <v>43466</v>
      </c>
      <c r="F8" s="232" t="s">
        <v>75</v>
      </c>
      <c r="G8" s="232">
        <f ca="1">DATE(Exercice(),"12","31")</f>
        <v>43830</v>
      </c>
      <c r="H8" s="229"/>
      <c r="I8" s="193"/>
      <c r="J8" s="193"/>
    </row>
    <row r="9" ht="12.75">
      <c r="A9" s="208"/>
      <c r="B9" s="229"/>
      <c r="C9" s="229"/>
      <c r="D9" s="209"/>
      <c r="E9" s="209"/>
      <c r="F9" s="209"/>
      <c r="G9" s="209"/>
      <c r="H9" s="208"/>
      <c r="I9" s="193"/>
      <c r="J9" s="193"/>
    </row>
    <row r="10" s="2" customFormat="1" ht="12.75">
      <c r="A10" s="233" t="s">
        <v>292</v>
      </c>
      <c r="B10" s="233"/>
      <c r="C10" s="233"/>
      <c r="D10" s="233"/>
      <c r="E10" s="233"/>
      <c r="F10" s="234" t="s">
        <v>293</v>
      </c>
      <c r="G10" s="209"/>
      <c r="H10" s="208"/>
      <c r="I10" s="193"/>
      <c r="J10" s="193"/>
      <c r="K10" s="3"/>
      <c r="L10" s="3"/>
    </row>
    <row r="11" ht="12.75">
      <c r="A11" s="208"/>
      <c r="B11" s="208"/>
      <c r="C11" s="208"/>
      <c r="D11" s="209"/>
      <c r="E11" s="209"/>
      <c r="F11" s="209"/>
      <c r="G11" s="209"/>
      <c r="H11" s="235"/>
      <c r="I11" s="193"/>
      <c r="J11" s="193"/>
    </row>
    <row r="12" ht="12.75">
      <c r="A12" s="229"/>
      <c r="B12" s="229"/>
      <c r="C12" s="229"/>
      <c r="D12" s="229"/>
      <c r="E12" s="229"/>
      <c r="F12" s="229"/>
      <c r="G12" s="229"/>
      <c r="H12" s="236"/>
      <c r="I12" s="237" t="s">
        <v>8</v>
      </c>
      <c r="J12" s="237"/>
    </row>
    <row r="13" ht="20.1" customHeight="1">
      <c r="A13" s="138" t="s">
        <v>294</v>
      </c>
      <c r="B13" s="138"/>
      <c r="C13" s="138"/>
      <c r="D13" s="138"/>
      <c r="E13" s="238" t="s">
        <v>295</v>
      </c>
      <c r="F13" s="238"/>
      <c r="G13" s="238"/>
      <c r="H13" s="238"/>
      <c r="I13" s="239"/>
      <c r="J13" s="239"/>
    </row>
    <row r="14" ht="20.1" customHeight="1">
      <c r="A14" s="138"/>
      <c r="B14" s="138"/>
      <c r="C14" s="138"/>
      <c r="D14" s="138"/>
      <c r="E14" s="238" t="s">
        <v>296</v>
      </c>
      <c r="F14" s="238"/>
      <c r="G14" s="238"/>
      <c r="H14" s="238"/>
      <c r="I14" s="239"/>
      <c r="J14" s="239"/>
    </row>
    <row r="15" ht="20.1" customHeight="1">
      <c r="A15" s="138"/>
      <c r="B15" s="138"/>
      <c r="C15" s="138"/>
      <c r="D15" s="138"/>
      <c r="E15" s="238" t="s">
        <v>297</v>
      </c>
      <c r="F15" s="238"/>
      <c r="G15" s="238"/>
      <c r="H15" s="238"/>
      <c r="I15" s="239"/>
      <c r="J15" s="239"/>
    </row>
    <row r="16" ht="20.1" customHeight="1">
      <c r="A16" s="138"/>
      <c r="B16" s="138"/>
      <c r="C16" s="138"/>
      <c r="D16" s="138"/>
      <c r="E16" s="207" t="s">
        <v>153</v>
      </c>
      <c r="F16" s="207"/>
      <c r="G16" s="207"/>
      <c r="H16" s="207"/>
      <c r="I16" s="240"/>
      <c r="J16" s="240"/>
    </row>
    <row r="17" ht="20.1" customHeight="1">
      <c r="A17" s="138" t="s">
        <v>298</v>
      </c>
      <c r="B17" s="138"/>
      <c r="C17" s="138"/>
      <c r="D17" s="138"/>
      <c r="E17" s="238" t="s">
        <v>299</v>
      </c>
      <c r="F17" s="238"/>
      <c r="G17" s="238"/>
      <c r="H17" s="238"/>
      <c r="I17" s="239"/>
      <c r="J17" s="239"/>
    </row>
    <row r="18" ht="20.1" customHeight="1">
      <c r="A18" s="138"/>
      <c r="B18" s="138"/>
      <c r="C18" s="138"/>
      <c r="D18" s="138"/>
      <c r="E18" s="238" t="s">
        <v>300</v>
      </c>
      <c r="F18" s="238"/>
      <c r="G18" s="238"/>
      <c r="H18" s="238"/>
      <c r="I18" s="239"/>
      <c r="J18" s="239"/>
    </row>
    <row r="19" ht="20.1" customHeight="1">
      <c r="A19" s="138"/>
      <c r="B19" s="138"/>
      <c r="C19" s="138"/>
      <c r="D19" s="138"/>
      <c r="E19" s="238" t="s">
        <v>301</v>
      </c>
      <c r="F19" s="238"/>
      <c r="G19" s="238"/>
      <c r="H19" s="238"/>
      <c r="I19" s="241"/>
      <c r="J19" s="241"/>
    </row>
    <row r="20" ht="20.1" customHeight="1">
      <c r="A20" s="138"/>
      <c r="B20" s="138"/>
      <c r="C20" s="138"/>
      <c r="D20" s="138"/>
      <c r="E20" s="238" t="s">
        <v>302</v>
      </c>
      <c r="F20" s="238"/>
      <c r="G20" s="238"/>
      <c r="H20" s="238"/>
      <c r="I20" s="239"/>
      <c r="J20" s="239"/>
    </row>
    <row r="21" ht="20.1" customHeight="1">
      <c r="A21" s="138"/>
      <c r="B21" s="138"/>
      <c r="C21" s="138"/>
      <c r="D21" s="138"/>
      <c r="E21" s="207" t="s">
        <v>153</v>
      </c>
      <c r="F21" s="207"/>
      <c r="G21" s="207"/>
      <c r="H21" s="207"/>
      <c r="I21" s="240"/>
      <c r="J21" s="240"/>
    </row>
    <row r="22" ht="12.75">
      <c r="A22" s="208"/>
      <c r="B22" s="208"/>
      <c r="C22" s="208"/>
      <c r="D22" s="209"/>
      <c r="E22" s="209"/>
      <c r="F22" s="209"/>
      <c r="G22" s="209"/>
      <c r="H22" s="236"/>
      <c r="I22" s="193"/>
      <c r="J22" s="193"/>
    </row>
    <row r="23" ht="12.75">
      <c r="A23" s="242" t="s">
        <v>303</v>
      </c>
      <c r="B23" s="243"/>
      <c r="C23" s="243"/>
      <c r="D23" s="244"/>
      <c r="E23" s="244"/>
      <c r="F23" s="245"/>
      <c r="G23" s="209"/>
      <c r="H23" s="236"/>
      <c r="I23" s="193"/>
      <c r="J23" s="193"/>
    </row>
    <row r="24" ht="12.75">
      <c r="A24" s="208"/>
      <c r="B24" s="208"/>
      <c r="C24" s="208"/>
      <c r="D24" s="209"/>
      <c r="E24" s="209"/>
      <c r="F24" s="209"/>
      <c r="G24" s="209"/>
      <c r="H24" s="236"/>
      <c r="I24" s="193"/>
      <c r="J24" s="193"/>
    </row>
    <row r="25" s="2" customFormat="1" ht="12.75" customHeight="1">
      <c r="A25" s="246"/>
      <c r="B25" s="246"/>
      <c r="C25" s="246"/>
      <c r="D25" s="246"/>
      <c r="E25" s="246"/>
      <c r="F25" s="247" t="s">
        <v>304</v>
      </c>
      <c r="G25" s="247" t="s">
        <v>305</v>
      </c>
      <c r="H25" s="248" t="s">
        <v>306</v>
      </c>
      <c r="I25" s="249"/>
      <c r="J25" s="250" t="s">
        <v>307</v>
      </c>
    </row>
    <row r="26" s="2" customFormat="1" ht="33.75" customHeight="1">
      <c r="A26" s="251" t="s">
        <v>308</v>
      </c>
      <c r="B26" s="251"/>
      <c r="C26" s="251"/>
      <c r="D26" s="251" t="s">
        <v>309</v>
      </c>
      <c r="E26" s="251" t="s">
        <v>310</v>
      </c>
      <c r="F26" s="247"/>
      <c r="G26" s="247"/>
      <c r="H26" s="248"/>
      <c r="I26" s="252" t="s">
        <v>311</v>
      </c>
      <c r="J26" s="252" t="s">
        <v>312</v>
      </c>
    </row>
    <row r="27" s="2" customFormat="1" ht="12.75">
      <c r="A27" s="253"/>
      <c r="B27" s="253"/>
      <c r="C27" s="253"/>
      <c r="D27" s="254"/>
      <c r="E27" s="254"/>
      <c r="F27" s="247"/>
      <c r="G27" s="247"/>
      <c r="H27" s="248"/>
      <c r="I27" s="255"/>
      <c r="J27" s="256" t="s">
        <v>313</v>
      </c>
    </row>
    <row r="28" ht="15.95" customHeight="1">
      <c r="A28" s="257" t="s">
        <v>314</v>
      </c>
      <c r="B28" s="257"/>
      <c r="C28" s="257"/>
      <c r="D28" s="258"/>
      <c r="E28" s="258"/>
      <c r="F28" s="258"/>
      <c r="G28" s="258"/>
      <c r="H28" s="259"/>
      <c r="I28" s="260"/>
      <c r="J28" s="260"/>
    </row>
    <row r="29" ht="15.95" customHeight="1">
      <c r="A29" s="261"/>
      <c r="B29" s="262"/>
      <c r="C29" s="262"/>
      <c r="D29" s="263"/>
      <c r="E29" s="263"/>
      <c r="F29" s="263"/>
      <c r="G29" s="263"/>
      <c r="H29" s="264"/>
      <c r="I29" s="265"/>
      <c r="J29" s="265"/>
    </row>
    <row r="30" ht="15.95" customHeight="1">
      <c r="A30" s="261"/>
      <c r="B30" s="262"/>
      <c r="C30" s="262"/>
      <c r="D30" s="263"/>
      <c r="E30" s="263"/>
      <c r="F30" s="263"/>
      <c r="G30" s="263"/>
      <c r="H30" s="264"/>
      <c r="I30" s="265"/>
      <c r="J30" s="265"/>
    </row>
    <row r="31" ht="15.95" customHeight="1">
      <c r="A31" s="266"/>
      <c r="B31" s="262"/>
      <c r="C31" s="262"/>
      <c r="D31" s="263"/>
      <c r="E31" s="263"/>
      <c r="F31" s="263"/>
      <c r="G31" s="263"/>
      <c r="H31" s="264"/>
      <c r="I31" s="265"/>
      <c r="J31" s="265"/>
    </row>
    <row r="32" ht="15.95" customHeight="1">
      <c r="A32" s="267" t="s">
        <v>315</v>
      </c>
      <c r="B32" s="267"/>
      <c r="C32" s="267"/>
      <c r="D32" s="258"/>
      <c r="E32" s="258"/>
      <c r="F32" s="258"/>
      <c r="G32" s="258"/>
      <c r="H32" s="259"/>
      <c r="I32" s="260"/>
      <c r="J32" s="268"/>
    </row>
    <row r="33" ht="15.95" customHeight="1">
      <c r="A33" s="269"/>
      <c r="B33" s="228"/>
      <c r="C33" s="228"/>
      <c r="D33" s="263"/>
      <c r="E33" s="263"/>
      <c r="F33" s="263"/>
      <c r="G33" s="263"/>
      <c r="H33" s="270"/>
      <c r="I33" s="265"/>
      <c r="J33" s="271"/>
    </row>
    <row r="34" ht="15.95" customHeight="1">
      <c r="A34" s="269"/>
      <c r="B34" s="228"/>
      <c r="C34" s="228"/>
      <c r="D34" s="263"/>
      <c r="E34" s="263"/>
      <c r="F34" s="263"/>
      <c r="G34" s="263"/>
      <c r="H34" s="270"/>
      <c r="I34" s="265"/>
      <c r="J34" s="271"/>
    </row>
    <row r="35" ht="15.95" customHeight="1">
      <c r="A35" s="269"/>
      <c r="B35" s="228"/>
      <c r="C35" s="228"/>
      <c r="D35" s="263"/>
      <c r="E35" s="263"/>
      <c r="F35" s="263"/>
      <c r="G35" s="263"/>
      <c r="H35" s="270"/>
      <c r="I35" s="265"/>
      <c r="J35" s="271"/>
    </row>
    <row r="36" ht="15.95" customHeight="1">
      <c r="A36" s="269"/>
      <c r="B36" s="228"/>
      <c r="C36" s="228"/>
      <c r="D36" s="263"/>
      <c r="E36" s="263"/>
      <c r="F36" s="263"/>
      <c r="G36" s="263"/>
      <c r="H36" s="270"/>
      <c r="I36" s="265"/>
      <c r="J36" s="271"/>
    </row>
    <row r="37" ht="15.95" customHeight="1">
      <c r="A37" s="272"/>
      <c r="B37" s="273"/>
      <c r="C37" s="273"/>
      <c r="D37" s="274"/>
      <c r="E37" s="274"/>
      <c r="F37" s="274"/>
      <c r="G37" s="274"/>
      <c r="H37" s="275"/>
      <c r="I37" s="276"/>
      <c r="J37" s="277"/>
    </row>
    <row r="38" ht="15.95" customHeight="1">
      <c r="A38" s="228"/>
      <c r="B38" s="228"/>
      <c r="C38" s="228"/>
      <c r="D38" s="189"/>
      <c r="E38" s="189"/>
      <c r="F38" s="189"/>
      <c r="G38" s="189"/>
      <c r="H38" s="278"/>
      <c r="I38" s="40"/>
      <c r="J38" s="40"/>
    </row>
    <row r="39" ht="15.95" customHeight="1">
      <c r="A39" s="70"/>
      <c r="B39" s="70"/>
      <c r="C39" s="70"/>
      <c r="D39" s="279"/>
      <c r="E39" s="279"/>
      <c r="F39" s="279"/>
      <c r="G39" s="279"/>
      <c r="H39" s="280"/>
      <c r="I39" s="220"/>
      <c r="J39" s="220"/>
    </row>
    <row r="40" ht="15.95" customHeight="1">
      <c r="A40" s="70"/>
      <c r="B40" s="70"/>
      <c r="C40" s="70"/>
      <c r="D40" s="279"/>
      <c r="E40" s="279"/>
      <c r="F40" s="279"/>
      <c r="G40" s="279"/>
      <c r="H40" s="280"/>
      <c r="I40" s="220"/>
      <c r="J40" s="220"/>
    </row>
    <row r="41" ht="15.95" customHeight="1">
      <c r="A41" s="281"/>
      <c r="B41" s="281"/>
      <c r="C41" s="281"/>
      <c r="D41" s="282"/>
      <c r="E41" s="282"/>
      <c r="F41" s="282"/>
      <c r="G41" s="282"/>
      <c r="H41" s="283"/>
      <c r="I41" s="284"/>
      <c r="J41" s="284"/>
    </row>
    <row r="42" ht="15.95" customHeight="1">
      <c r="A42" s="281"/>
      <c r="B42" s="281"/>
      <c r="C42" s="281"/>
      <c r="D42" s="282"/>
      <c r="E42" s="282"/>
      <c r="F42" s="282"/>
      <c r="G42" s="282"/>
      <c r="H42" s="283"/>
      <c r="I42" s="284"/>
      <c r="J42" s="284"/>
    </row>
    <row r="43" ht="15.95" customHeight="1">
      <c r="A43" s="281"/>
      <c r="B43" s="281"/>
      <c r="C43" s="281"/>
      <c r="D43" s="282"/>
      <c r="E43" s="282"/>
      <c r="F43" s="282"/>
      <c r="G43" s="282"/>
      <c r="H43" s="283"/>
      <c r="I43" s="284"/>
      <c r="J43" s="284"/>
    </row>
    <row r="44" ht="15.95" customHeight="1">
      <c r="A44" s="281"/>
      <c r="B44" s="281"/>
      <c r="C44" s="281"/>
      <c r="D44" s="282"/>
      <c r="E44" s="282"/>
      <c r="F44" s="282"/>
      <c r="G44" s="282"/>
      <c r="H44" s="283"/>
      <c r="I44" s="284"/>
      <c r="J44" s="284"/>
    </row>
    <row r="45" ht="15.95" customHeight="1">
      <c r="A45" s="281"/>
      <c r="B45" s="281"/>
      <c r="C45" s="281"/>
      <c r="D45" s="282"/>
      <c r="E45" s="282"/>
      <c r="F45" s="282"/>
      <c r="G45" s="282"/>
      <c r="H45" s="283"/>
      <c r="I45" s="284"/>
      <c r="J45" s="284"/>
    </row>
    <row r="46" ht="15.95" customHeight="1">
      <c r="A46" s="281"/>
      <c r="B46" s="281"/>
      <c r="C46" s="281"/>
      <c r="D46" s="282"/>
      <c r="E46" s="282"/>
      <c r="F46" s="282"/>
      <c r="G46" s="282"/>
      <c r="H46" s="283"/>
      <c r="I46" s="284"/>
      <c r="J46" s="284"/>
    </row>
    <row r="47" ht="15.95" customHeight="1">
      <c r="A47" s="281"/>
      <c r="B47" s="281"/>
      <c r="C47" s="281"/>
      <c r="D47" s="282"/>
      <c r="E47" s="282"/>
      <c r="F47" s="282"/>
      <c r="G47" s="282"/>
      <c r="H47" s="281"/>
      <c r="I47" s="284"/>
      <c r="J47" s="284"/>
    </row>
    <row r="48" ht="15.95" customHeight="1"/>
    <row r="49" ht="15.95" customHeight="1"/>
  </sheetData>
  <mergeCells count="35">
    <mergeCell ref="A1:D1"/>
    <mergeCell ref="F1:G1"/>
    <mergeCell ref="E4:H4"/>
    <mergeCell ref="E5:H5"/>
    <mergeCell ref="E6:H6"/>
    <mergeCell ref="A10:E10"/>
    <mergeCell ref="I12:J12"/>
    <mergeCell ref="A13:D16"/>
    <mergeCell ref="E13:H13"/>
    <mergeCell ref="I13:J13"/>
    <mergeCell ref="E14:H14"/>
    <mergeCell ref="I14:J14"/>
    <mergeCell ref="E15:H15"/>
    <mergeCell ref="I15:J15"/>
    <mergeCell ref="E16:H16"/>
    <mergeCell ref="I16:J16"/>
    <mergeCell ref="A17:D21"/>
    <mergeCell ref="E17:H17"/>
    <mergeCell ref="I17:J17"/>
    <mergeCell ref="E18:H18"/>
    <mergeCell ref="I18:J18"/>
    <mergeCell ref="E19:H19"/>
    <mergeCell ref="I19:J19"/>
    <mergeCell ref="E20:H20"/>
    <mergeCell ref="I20:J20"/>
    <mergeCell ref="E21:H21"/>
    <mergeCell ref="I21:J21"/>
    <mergeCell ref="A25:C25"/>
    <mergeCell ref="F25:F27"/>
    <mergeCell ref="G25:G27"/>
    <mergeCell ref="H25:H27"/>
    <mergeCell ref="A26:C26"/>
    <mergeCell ref="A27:C27"/>
    <mergeCell ref="A28:C28"/>
    <mergeCell ref="A32:C32"/>
  </mergeCells>
  <pageMargins left="0.7" right="0.7" top="0.75" bottom="0.75" header="0.5118055" footer="0.5118055"/>
  <pageSetup paperSize="9" orientation="portrait" horizontalDpi="300" verticalDpi="300"/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zoomScaleNormal="100" zoomScalePageLayoutView="100" workbookViewId="0">
      <selection activeCell="D5" sqref="D5:G5"/>
    </sheetView>
  </sheetViews>
  <sheetFormatPr defaultColWidth="11.42188" defaultRowHeight="15"/>
  <cols>
    <col min="1" max="1" width="13.42188" style="3" customWidth="1"/>
    <col min="2" max="2" width="10.14063" style="3" customWidth="1"/>
    <col min="3" max="3" width="7.574219" style="3" customWidth="1"/>
    <col min="4" max="4" width="5.710938" style="2" customWidth="1"/>
    <col min="5" max="5" width="14.28125" style="2" customWidth="1"/>
    <col min="6" max="6" width="4.003906" style="2" customWidth="1"/>
    <col min="7" max="7" width="16.57422" style="2" customWidth="1"/>
    <col min="8" max="8" width="11.85156" style="2" customWidth="1"/>
    <col min="9" max="9" width="14.28125" style="3" customWidth="1"/>
    <col min="10" max="257" width="11.42188" style="3"/>
  </cols>
  <sheetData>
    <row r="1">
      <c r="A1" s="4" t="s">
        <v>0</v>
      </c>
      <c r="B1" s="4"/>
      <c r="C1" s="4"/>
      <c r="D1" s="68" t="s">
        <v>1</v>
      </c>
      <c r="E1" s="118" t="str">
        <f ca="1">NIF()</f>
        <v>195847070002536</v>
      </c>
      <c r="F1" s="118"/>
      <c r="G1" s="282"/>
      <c r="H1" s="282"/>
    </row>
    <row r="2" ht="8.1" customHeight="1">
      <c r="A2" s="279"/>
      <c r="B2" s="279"/>
      <c r="C2" s="279"/>
      <c r="D2" s="279"/>
      <c r="E2" s="279"/>
      <c r="F2" s="279"/>
      <c r="G2" s="282"/>
      <c r="H2" s="282"/>
    </row>
    <row r="3" ht="8.1" customHeight="1">
      <c r="A3" s="281"/>
      <c r="B3" s="281"/>
      <c r="C3" s="281"/>
      <c r="D3" s="282"/>
      <c r="E3" s="282"/>
      <c r="F3" s="282"/>
      <c r="G3" s="282"/>
      <c r="H3" s="282"/>
    </row>
    <row r="4">
      <c r="A4" s="56" t="s">
        <v>71</v>
      </c>
      <c r="B4" s="285"/>
      <c r="C4" s="286"/>
      <c r="D4" s="213" t="str">
        <f ca="1">Client()</f>
        <v>BAROUD DJELLOUL E.T.E.H.B.</v>
      </c>
      <c r="E4" s="213"/>
      <c r="F4" s="213"/>
      <c r="G4" s="213"/>
      <c r="H4" s="287"/>
    </row>
    <row r="5">
      <c r="A5" s="58" t="s">
        <v>72</v>
      </c>
      <c r="B5" s="288"/>
      <c r="C5" s="289"/>
      <c r="D5" s="219" t="str">
        <f ca="1">ACT()</f>
        <v>BP 377; BENI-ISGUEN.BOUNOURA.</v>
      </c>
      <c r="E5" s="219"/>
      <c r="F5" s="219"/>
      <c r="G5" s="219"/>
      <c r="H5" s="290"/>
    </row>
    <row r="6">
      <c r="A6" s="60" t="s">
        <v>73</v>
      </c>
      <c r="B6" s="291"/>
      <c r="C6" s="292"/>
      <c r="D6" s="225" t="str">
        <f ca="1">ADRS()</f>
        <v/>
      </c>
      <c r="E6" s="225"/>
      <c r="F6" s="225"/>
      <c r="G6" s="225"/>
      <c r="H6" s="293"/>
    </row>
    <row r="7" ht="8.1" customHeight="1">
      <c r="A7" s="70"/>
      <c r="B7" s="294"/>
      <c r="C7" s="294"/>
      <c r="D7" s="294"/>
      <c r="E7" s="295"/>
      <c r="F7" s="295"/>
      <c r="G7" s="282"/>
      <c r="H7" s="282"/>
    </row>
    <row r="8">
      <c r="A8" s="208"/>
      <c r="B8" s="229"/>
      <c r="C8" s="296"/>
      <c r="D8" s="297" t="s">
        <v>74</v>
      </c>
      <c r="E8" s="232">
        <f ca="1">DATE(Exercice(),"01","01")</f>
        <v>43466</v>
      </c>
      <c r="F8" s="186" t="s">
        <v>75</v>
      </c>
      <c r="G8" s="232">
        <f ca="1">DATE(Exercice(),"12","31")</f>
        <v>43830</v>
      </c>
      <c r="H8" s="209"/>
    </row>
    <row r="9">
      <c r="A9" s="208"/>
      <c r="B9" s="229"/>
      <c r="C9" s="229"/>
      <c r="D9" s="209"/>
      <c r="E9" s="209"/>
      <c r="F9" s="209"/>
      <c r="G9" s="209"/>
      <c r="H9" s="209"/>
    </row>
    <row r="10" s="2" customFormat="1" ht="21" customHeight="1">
      <c r="A10" s="298" t="s">
        <v>316</v>
      </c>
      <c r="B10" s="298"/>
      <c r="C10" s="298"/>
      <c r="D10" s="298"/>
      <c r="E10" s="298"/>
      <c r="F10" s="298"/>
      <c r="G10" s="298"/>
      <c r="H10" s="298"/>
      <c r="I10" s="3"/>
      <c r="J10" s="3"/>
      <c r="K10" s="3"/>
      <c r="L10" s="3"/>
      <c r="M10" s="3"/>
    </row>
    <row r="11" s="2" customFormat="1" ht="12.75">
      <c r="A11" s="299" t="s">
        <v>317</v>
      </c>
      <c r="B11" s="300"/>
      <c r="C11" s="300"/>
      <c r="D11" s="301"/>
      <c r="E11" s="301"/>
      <c r="F11" s="301"/>
      <c r="G11" s="301"/>
      <c r="H11" s="302"/>
      <c r="I11" s="3"/>
      <c r="J11" s="3"/>
      <c r="K11" s="3"/>
      <c r="L11" s="3"/>
      <c r="M11" s="3"/>
    </row>
    <row r="12" s="2" customFormat="1" ht="12.75">
      <c r="A12" s="208"/>
      <c r="B12" s="208"/>
      <c r="C12" s="208"/>
      <c r="D12" s="209"/>
      <c r="E12" s="209"/>
      <c r="F12" s="209"/>
      <c r="G12" s="209"/>
      <c r="H12" s="303"/>
      <c r="I12" s="3"/>
      <c r="J12" s="3"/>
      <c r="K12" s="3"/>
      <c r="L12" s="3"/>
      <c r="M12" s="3"/>
    </row>
    <row r="13" s="2" customFormat="1" ht="12.75" customHeight="1">
      <c r="A13" s="167" t="s">
        <v>318</v>
      </c>
      <c r="B13" s="167"/>
      <c r="C13" s="167"/>
      <c r="D13" s="138" t="s">
        <v>319</v>
      </c>
      <c r="E13" s="138"/>
      <c r="F13" s="138" t="s">
        <v>320</v>
      </c>
      <c r="G13" s="138"/>
      <c r="H13" s="304" t="s">
        <v>321</v>
      </c>
      <c r="J13" s="3"/>
      <c r="K13" s="3"/>
      <c r="L13" s="3"/>
      <c r="M13" s="3"/>
    </row>
    <row r="14" s="2" customFormat="1" ht="12.75">
      <c r="A14" s="167"/>
      <c r="B14" s="167"/>
      <c r="C14" s="167"/>
      <c r="D14" s="138"/>
      <c r="E14" s="138"/>
      <c r="F14" s="138"/>
      <c r="G14" s="138"/>
      <c r="H14" s="304"/>
      <c r="J14" s="3"/>
      <c r="K14" s="3"/>
      <c r="L14" s="3"/>
      <c r="M14" s="3"/>
    </row>
    <row r="15" s="2" customFormat="1" ht="20.1" customHeight="1">
      <c r="A15" s="238"/>
      <c r="B15" s="238"/>
      <c r="C15" s="238"/>
      <c r="D15" s="305"/>
      <c r="E15" s="305"/>
      <c r="F15" s="186"/>
      <c r="G15" s="186"/>
      <c r="H15" s="39">
        <f ca="1">S(622)</f>
        <v>0</v>
      </c>
      <c r="J15" s="3"/>
      <c r="K15" s="3"/>
      <c r="L15" s="3"/>
      <c r="M15" s="3"/>
    </row>
    <row r="16" s="2" customFormat="1" ht="20.1" customHeight="1">
      <c r="A16" s="238"/>
      <c r="B16" s="238"/>
      <c r="C16" s="238"/>
      <c r="D16" s="305"/>
      <c r="E16" s="305"/>
      <c r="F16" s="186"/>
      <c r="G16" s="186"/>
      <c r="H16" s="39"/>
      <c r="J16" s="3"/>
      <c r="K16" s="3"/>
      <c r="L16" s="3"/>
      <c r="M16" s="3"/>
    </row>
    <row r="17" s="2" customFormat="1" ht="20.1" customHeight="1">
      <c r="A17" s="238"/>
      <c r="B17" s="238"/>
      <c r="C17" s="238"/>
      <c r="D17" s="305"/>
      <c r="E17" s="305"/>
      <c r="F17" s="186"/>
      <c r="G17" s="186"/>
      <c r="H17" s="39"/>
      <c r="J17" s="3"/>
      <c r="K17" s="3"/>
      <c r="L17" s="3"/>
      <c r="M17" s="3"/>
    </row>
    <row r="18" s="2" customFormat="1" ht="20.1" customHeight="1">
      <c r="A18" s="238"/>
      <c r="B18" s="238"/>
      <c r="C18" s="238"/>
      <c r="D18" s="186"/>
      <c r="E18" s="186"/>
      <c r="F18" s="186"/>
      <c r="G18" s="186"/>
      <c r="H18" s="39"/>
      <c r="J18" s="3"/>
      <c r="K18" s="3"/>
      <c r="L18" s="3"/>
      <c r="M18" s="3"/>
    </row>
    <row r="19" s="2" customFormat="1" ht="20.1" customHeight="1">
      <c r="A19" s="306"/>
      <c r="B19" s="307"/>
      <c r="C19" s="307"/>
      <c r="D19" s="308"/>
      <c r="E19" s="308"/>
      <c r="F19" s="308"/>
      <c r="G19" s="309"/>
      <c r="H19" s="39">
        <f ca="1">SUM(H15:H18)</f>
        <v>0</v>
      </c>
      <c r="J19" s="3"/>
      <c r="K19" s="3"/>
      <c r="L19" s="3"/>
      <c r="M19" s="3"/>
    </row>
    <row r="20">
      <c r="A20" s="208"/>
      <c r="B20" s="208"/>
      <c r="C20" s="208"/>
      <c r="D20" s="209"/>
      <c r="E20" s="209"/>
      <c r="F20" s="209"/>
      <c r="G20" s="209"/>
      <c r="H20" s="310"/>
    </row>
    <row r="21" s="2" customFormat="1" ht="21" customHeight="1">
      <c r="A21" s="142" t="s">
        <v>322</v>
      </c>
      <c r="B21" s="142"/>
      <c r="C21" s="142"/>
      <c r="D21" s="209"/>
      <c r="E21" s="209"/>
      <c r="F21" s="209"/>
      <c r="G21" s="209"/>
      <c r="H21" s="236"/>
      <c r="J21" s="3"/>
      <c r="K21" s="3"/>
      <c r="L21" s="3"/>
      <c r="M21" s="3"/>
    </row>
    <row r="22">
      <c r="A22" s="208"/>
      <c r="B22" s="208"/>
      <c r="C22" s="208"/>
      <c r="D22" s="209"/>
      <c r="E22" s="209"/>
      <c r="F22" s="209"/>
      <c r="G22" s="209"/>
      <c r="H22" s="236"/>
    </row>
    <row r="23" ht="12.75" customHeight="1">
      <c r="A23" s="167" t="s">
        <v>323</v>
      </c>
      <c r="B23" s="167"/>
      <c r="C23" s="167"/>
      <c r="D23" s="167" t="s">
        <v>324</v>
      </c>
      <c r="E23" s="167"/>
      <c r="F23" s="167" t="s">
        <v>325</v>
      </c>
      <c r="G23" s="167"/>
      <c r="H23" s="311" t="s">
        <v>326</v>
      </c>
    </row>
    <row r="24">
      <c r="A24" s="167"/>
      <c r="B24" s="167"/>
      <c r="C24" s="167"/>
      <c r="D24" s="167"/>
      <c r="E24" s="167"/>
      <c r="F24" s="167"/>
      <c r="G24" s="167"/>
      <c r="H24" s="311"/>
    </row>
    <row r="25" ht="20.1" customHeight="1">
      <c r="A25" s="312" t="s">
        <v>327</v>
      </c>
      <c r="B25" s="312"/>
      <c r="C25" s="312"/>
      <c r="D25" s="39">
        <v>25703960</v>
      </c>
      <c r="E25" s="39"/>
      <c r="F25" s="39"/>
      <c r="G25" s="39"/>
      <c r="H25" s="39">
        <f ca="1">S(642)</f>
        <v>703580</v>
      </c>
      <c r="J25" s="313"/>
    </row>
    <row r="26" ht="20.1" customHeight="1">
      <c r="A26" s="312"/>
      <c r="B26" s="312"/>
      <c r="C26" s="312"/>
      <c r="D26" s="39"/>
      <c r="E26" s="39"/>
      <c r="F26" s="39"/>
      <c r="G26" s="39"/>
      <c r="H26" s="39"/>
    </row>
    <row r="27" ht="20.1" customHeight="1">
      <c r="A27" s="312"/>
      <c r="B27" s="312"/>
      <c r="C27" s="312"/>
      <c r="D27" s="39"/>
      <c r="E27" s="39"/>
      <c r="F27" s="39"/>
      <c r="G27" s="39"/>
      <c r="H27" s="39"/>
    </row>
    <row r="28" ht="20.1" customHeight="1">
      <c r="A28" s="312"/>
      <c r="B28" s="312"/>
      <c r="C28" s="312"/>
      <c r="D28" s="39"/>
      <c r="E28" s="39"/>
      <c r="F28" s="39"/>
      <c r="G28" s="39"/>
      <c r="H28" s="39"/>
    </row>
    <row r="29" ht="20.1" customHeight="1">
      <c r="A29" s="312"/>
      <c r="B29" s="312"/>
      <c r="C29" s="312"/>
      <c r="D29" s="39"/>
      <c r="E29" s="39"/>
      <c r="F29" s="39"/>
      <c r="G29" s="39"/>
      <c r="H29" s="39"/>
    </row>
    <row r="30">
      <c r="A30" s="314"/>
      <c r="B30" s="314"/>
      <c r="C30" s="314"/>
      <c r="D30" s="39">
        <f>SUM(D25:E29)</f>
        <v>25703960</v>
      </c>
      <c r="E30" s="39"/>
      <c r="F30" s="39"/>
      <c r="G30" s="39"/>
      <c r="H30" s="39">
        <f ca="1">SUM(H25:H29)</f>
        <v>703580</v>
      </c>
    </row>
    <row r="31">
      <c r="H31" s="315"/>
    </row>
    <row r="32">
      <c r="H32" s="315"/>
    </row>
    <row r="33">
      <c r="H33" s="315"/>
    </row>
    <row r="34">
      <c r="H34" s="315"/>
    </row>
    <row r="35">
      <c r="H35" s="315"/>
    </row>
    <row r="36">
      <c r="H36" s="315"/>
    </row>
    <row r="37">
      <c r="H37" s="315"/>
    </row>
    <row r="38">
      <c r="H38" s="315"/>
    </row>
    <row r="39">
      <c r="H39" s="315"/>
    </row>
    <row r="40">
      <c r="H40" s="315"/>
    </row>
    <row r="41">
      <c r="H41" s="315"/>
    </row>
    <row r="42">
      <c r="H42" s="315"/>
    </row>
    <row r="43">
      <c r="H43" s="315"/>
    </row>
    <row r="44">
      <c r="H44" s="315"/>
    </row>
    <row r="45">
      <c r="H45" s="315"/>
    </row>
    <row r="46">
      <c r="H46" s="315"/>
    </row>
  </sheetData>
  <mergeCells count="45">
    <mergeCell ref="A1:C1"/>
    <mergeCell ref="E1:F1"/>
    <mergeCell ref="D4:G4"/>
    <mergeCell ref="D5:G5"/>
    <mergeCell ref="D6:G6"/>
    <mergeCell ref="A10:H10"/>
    <mergeCell ref="A13:C14"/>
    <mergeCell ref="D13:E14"/>
    <mergeCell ref="F13:G14"/>
    <mergeCell ref="H13:H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21:C21"/>
    <mergeCell ref="A23:C24"/>
    <mergeCell ref="D23:E24"/>
    <mergeCell ref="F23:G24"/>
    <mergeCell ref="H23:H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</mergeCells>
  <pageMargins left="0.7" right="0.7" top="0.75" bottom="0.75" header="0.5118055" footer="0.51180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DevExpress Office File API/20.1.6.0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djelloul ziadi</cp:lastModifiedBy>
  <cp:lastPrinted>2020-06-30T10:32:18Z</cp:lastPrinted>
  <cp:revision>2</cp:revision>
  <dcterms:created xsi:type="dcterms:W3CDTF">2020-08-12T21:35:00Z</dcterms:created>
  <dcterms:modified xsi:type="dcterms:W3CDTF">2023-12-26T14:11:33Z</dcterms:modified>
</cp:coreProperties>
</file>